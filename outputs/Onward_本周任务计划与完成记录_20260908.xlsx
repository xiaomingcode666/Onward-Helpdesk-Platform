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周任务" sheetId="1" state="visible" r:id="rId1"/>
    <sheet xmlns:r="http://schemas.openxmlformats.org/officeDocument/2006/relationships" name="排期依据" sheetId="2" state="visible" r:id="rId2"/>
    <sheet xmlns:r="http://schemas.openxmlformats.org/officeDocument/2006/relationships" name="验证记录" sheetId="3" state="visible" r:id="rId3"/>
    <sheet xmlns:r="http://schemas.openxmlformats.org/officeDocument/2006/relationships" name="待确认事项" sheetId="4" state="visible" r:id="rId4"/>
  </sheets>
  <definedNames>
    <definedName name="_xlnm._FilterDatabase" localSheetId="0" hidden="1">'本周任务'!$A$6:$K$11</definedName>
    <definedName name="_xlnm._FilterDatabase" localSheetId="1" hidden="1">'排期依据'!$A$4:$E$10</definedName>
    <definedName name="_xlnm._FilterDatabase" localSheetId="2" hidden="1">'验证记录'!$A$4:$F$12</definedName>
    <definedName name="_xlnm._FilterDatabase" localSheetId="3" hidden="1">'待确认事项'!$A$4:$F$10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 &quot;人日&quot;"/>
    <numFmt numFmtId="165" formatCode="yyyy-mm-dd"/>
    <numFmt numFmtId="166" formatCode="0.00 &quot;人日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9636E"/>
      <sz val="10"/>
    </font>
    <font>
      <name val="Arial"/>
      <b val="1"/>
      <color rgb="0059636E"/>
    </font>
    <font>
      <name val="Arial"/>
      <b val="1"/>
      <color rgb="00243447"/>
      <sz val="14"/>
    </font>
    <font>
      <name val="Arial"/>
      <b val="1"/>
      <color rgb="00FFFFFF"/>
      <sz val="10"/>
    </font>
    <font>
      <name val="Arial"/>
      <color rgb="0020262D"/>
      <sz val="10"/>
    </font>
  </fonts>
  <fills count="5">
    <fill>
      <patternFill/>
    </fill>
    <fill>
      <patternFill patternType="gray125"/>
    </fill>
    <fill>
      <patternFill patternType="solid">
        <fgColor rgb="00243447"/>
      </patternFill>
    </fill>
    <fill>
      <patternFill patternType="solid">
        <fgColor rgb="000F6B78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bottom style="thin">
        <color rgb="00D8DEE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166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166" fontId="6" fillId="4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00196B3A"/>
      </font>
      <fill>
        <patternFill patternType="solid">
          <fgColor rgb="00DDEFE2"/>
        </patternFill>
      </fill>
    </dxf>
    <dxf>
      <fill>
        <patternFill patternType="solid">
          <fgColor rgb="00FCE4E4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B3" authorId="0" shapeId="0">
      <text>
        <t>任务拆分依据为原工作簿的 3 个“待验证”项，另含排期分析和最终回归。</t>
      </text>
    </comment>
    <comment ref="H3" authorId="0" shapeId="0">
      <text>
        <t>按 1 名开发者本周剩余 4 个工作日估算；不等同于原表每项 3 人日的跨角色团队估算。</t>
      </text>
    </comment>
  </commentList>
</comments>
</file>

<file path=xl/tables/table1.xml><?xml version="1.0" encoding="utf-8"?>
<table xmlns="http://schemas.openxmlformats.org/spreadsheetml/2006/main" id="1" name="WeeklyTasks" displayName="WeeklyTasks" ref="A6:K11" headerRowCount="1">
  <autoFilter ref="A6:K11"/>
  <tableColumns count="11">
    <tableColumn id="1" name="任务编号"/>
    <tableColumn id="2" name="计划日期"/>
    <tableColumn id="3" name="功能ID"/>
    <tableColumn id="4" name="业务功能"/>
    <tableColumn id="5" name="本周工作"/>
    <tableColumn id="6" name="完成标准"/>
    <tableColumn id="7" name="计划人日"/>
    <tableColumn id="8" name="状态"/>
    <tableColumn id="9" name="完成结果"/>
    <tableColumn id="10" name="验证证据"/>
    <tableColumn id="11" name="业务验收边界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cheduleBasis" displayName="ScheduleBasis" ref="A4:E10" headerRowCount="1">
  <autoFilter ref="A4:E10"/>
  <tableColumns count="5">
    <tableColumn id="1" name="项目"/>
    <tableColumn id="2" name="原表信息"/>
    <tableColumn id="3" name="本周判断"/>
    <tableColumn id="4" name="来源/证据"/>
    <tableColumn id="5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erificationLog" displayName="VerificationLog" ref="A4:F12" headerRowCount="1">
  <autoFilter ref="A4:F12"/>
  <tableColumns count="6">
    <tableColumn id="1" name="编号"/>
    <tableColumn id="2" name="范围"/>
    <tableColumn id="3" name="命令/检查"/>
    <tableColumn id="4" name="结果"/>
    <tableColumn id="5" name="用时/数量"/>
    <tableColumn id="6" name="说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endingItems" displayName="PendingItems" ref="A4:F10" headerRowCount="1">
  <autoFilter ref="A4:F10"/>
  <tableColumns count="6">
    <tableColumn id="1" name="优先级"/>
    <tableColumn id="2" name="关联功能"/>
    <tableColumn id="3" name="待确认内容"/>
    <tableColumn id="4" name="建议负责人"/>
    <tableColumn id="5" name="需要时间"/>
    <tableColumn id="6" name="影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24" customWidth="1" min="4" max="4"/>
    <col width="42" customWidth="1" min="5" max="5"/>
    <col width="46" customWidth="1" min="6" max="6"/>
    <col width="12" customWidth="1" min="7" max="7"/>
    <col width="12" customWidth="1" min="8" max="8"/>
    <col width="46" customWidth="1" min="9" max="9"/>
    <col width="38" customWidth="1" min="10" max="10"/>
    <col width="42" customWidth="1" min="11" max="11"/>
  </cols>
  <sheetData>
    <row r="1" ht="34" customHeight="1">
      <c r="A1" s="1" t="inlineStr">
        <is>
          <t>Onward 本周任务计划与完成记录</t>
        </is>
      </c>
    </row>
    <row r="2" ht="30" customHeight="1">
      <c r="A2" s="2" t="inlineStr">
        <is>
          <t>本周口径：2026-09-08 至 2026-09-11（剩余工作日）。范围来自修订讨论稿中仅有的 3 个“待验证”功能项。</t>
        </is>
      </c>
    </row>
    <row r="3">
      <c r="A3" s="3" t="inlineStr">
        <is>
          <t>任务数</t>
        </is>
      </c>
      <c r="B3" s="4">
        <f>COUNTA(A7:A11)</f>
        <v/>
      </c>
      <c r="D3" s="3" t="inlineStr">
        <is>
          <t>已完成</t>
        </is>
      </c>
      <c r="E3" s="4">
        <f>COUNTIF(H7:H11,"已完成")</f>
        <v/>
      </c>
      <c r="G3" s="3" t="inlineStr">
        <is>
          <t>计划人日</t>
        </is>
      </c>
      <c r="H3" s="5">
        <f>SUM(G7:G11)</f>
        <v/>
      </c>
      <c r="J3" s="3" t="inlineStr">
        <is>
          <t>未完成</t>
        </is>
      </c>
      <c r="K3" s="4">
        <f>COUNTIF(H7:H11,"&lt;&gt;已完成")</f>
        <v/>
      </c>
    </row>
    <row r="6" ht="30" customHeight="1">
      <c r="A6" s="6" t="inlineStr">
        <is>
          <t>任务编号</t>
        </is>
      </c>
      <c r="B6" s="6" t="inlineStr">
        <is>
          <t>计划日期</t>
        </is>
      </c>
      <c r="C6" s="6" t="inlineStr">
        <is>
          <t>功能ID</t>
        </is>
      </c>
      <c r="D6" s="6" t="inlineStr">
        <is>
          <t>业务功能</t>
        </is>
      </c>
      <c r="E6" s="6" t="inlineStr">
        <is>
          <t>本周工作</t>
        </is>
      </c>
      <c r="F6" s="6" t="inlineStr">
        <is>
          <t>完成标准</t>
        </is>
      </c>
      <c r="G6" s="6" t="inlineStr">
        <is>
          <t>计划人日</t>
        </is>
      </c>
      <c r="H6" s="6" t="inlineStr">
        <is>
          <t>状态</t>
        </is>
      </c>
      <c r="I6" s="6" t="inlineStr">
        <is>
          <t>完成结果</t>
        </is>
      </c>
      <c r="J6" s="6" t="inlineStr">
        <is>
          <t>验证证据</t>
        </is>
      </c>
      <c r="K6" s="6" t="inlineStr">
        <is>
          <t>业务验收边界</t>
        </is>
      </c>
    </row>
    <row r="7" ht="82" customHeight="1">
      <c r="A7" s="7" t="inlineStr">
        <is>
          <t>PLAN-001</t>
        </is>
      </c>
      <c r="B7" s="8" t="n">
        <v>46273</v>
      </c>
      <c r="C7" s="7" t="inlineStr"/>
      <c r="D7" s="7" t="inlineStr">
        <is>
          <t>排期熟悉与范围冻结</t>
        </is>
      </c>
      <c r="E7" s="7" t="inlineStr">
        <is>
          <t>解析 7 张工作表、90 个功能项，交叉检查 S0、优先级、外部依赖与仓库现状。</t>
        </is>
      </c>
      <c r="F7" s="7" t="inlineStr">
        <is>
          <t>形成可执行的本周范围，明确不具备业务验收条件的事项。</t>
        </is>
      </c>
      <c r="G7" s="9" t="n">
        <v>0.5</v>
      </c>
      <c r="H7" s="7" t="inlineStr">
        <is>
          <t>已完成</t>
        </is>
      </c>
      <c r="I7" s="7" t="inlineStr">
        <is>
          <t>确认本周只承诺 FUN-021、FUN-028、FUN-083 的代码复验与缺陷修复。</t>
        </is>
      </c>
      <c r="J7" s="7" t="inlineStr">
        <is>
          <t>来源：D:\桌面\Onward_业务功能对照与实施排期_修订讨论稿_20260908.xlsx</t>
        </is>
      </c>
      <c r="K7" s="7" t="inlineStr">
        <is>
          <t>原表日期和 889 人日尚未团队确认；本周计划不是正式上线承诺。</t>
        </is>
      </c>
    </row>
    <row r="8" ht="82" customHeight="1">
      <c r="A8" s="10" t="inlineStr">
        <is>
          <t>PLAN-002</t>
        </is>
      </c>
      <c r="B8" s="11" t="n">
        <v>46274</v>
      </c>
      <c r="C8" s="10" t="inlineStr">
        <is>
          <t>FUN-021</t>
        </is>
      </c>
      <c r="D8" s="10" t="inlineStr">
        <is>
          <t>到期自动关闭</t>
        </is>
      </c>
      <c r="E8" s="10" t="inlineStr">
        <is>
          <t>核查策略开关、关闭窗口、状态条件、例外、审计记录和重开链路；补齐回归测试。</t>
        </is>
      </c>
      <c r="F8" s="10" t="inlineStr">
        <is>
          <t>未到期、未解决、安全关键、未结束会议及活跃供应商协作不关闭；到期项关闭且历史可追溯、可重开。</t>
        </is>
      </c>
      <c r="G8" s="12" t="n">
        <v>1</v>
      </c>
      <c r="H8" s="10" t="inlineStr">
        <is>
          <t>已完成</t>
        </is>
      </c>
      <c r="I8" s="10" t="inlineStr">
        <is>
          <t>统一批次时间基准；新增策略关闭、窗口、状态、供应商协作、审计和重开覆盖。</t>
        </is>
      </c>
      <c r="J8" s="10" t="inlineStr">
        <is>
          <t>Go 服务层验收：PASS。</t>
        </is>
      </c>
      <c r="K8" s="10" t="inlineStr">
        <is>
          <t>自动关闭天数、业务例外及关闭前提醒仍需业务负责人批准。</t>
        </is>
      </c>
    </row>
    <row r="9" ht="82" customHeight="1">
      <c r="A9" s="7" t="inlineStr">
        <is>
          <t>PLAN-003</t>
        </is>
      </c>
      <c r="B9" s="8" t="n">
        <v>46275</v>
      </c>
      <c r="C9" s="7" t="inlineStr">
        <is>
          <t>FUN-083</t>
        </is>
      </c>
      <c r="D9" s="7" t="inlineStr">
        <is>
          <t>上传文件类型和大小限制</t>
        </is>
      </c>
      <c r="E9" s="7" t="inlineStr">
        <is>
          <t>核查所有上传入口是否统一校验；补异常 ZIP、压缩率、目录穿越和包内危险文件保护。</t>
        </is>
      </c>
      <c r="F9" s="7" t="inlineStr">
        <is>
          <t>实际大小和 MIME 不信任客户端；危险内容及异常压缩包被拒绝；正常 ZIP/Office 文件可通过。</t>
        </is>
      </c>
      <c r="G9" s="9" t="n">
        <v>1.5</v>
      </c>
      <c r="H9" s="7" t="inlineStr">
        <is>
          <t>已完成</t>
        </is>
      </c>
      <c r="I9" s="7" t="inlineStr">
        <is>
          <t>新增可配置的 ZIP 条目数、解压总量和压缩率限制，并校验加密条目、路径及包内扩展名。</t>
        </is>
      </c>
      <c r="J9" s="7" t="inlineStr">
        <is>
          <t>Go 上传安全与企业上传集成回归：PASS。</t>
        </is>
      </c>
      <c r="K9" s="7" t="inlineStr">
        <is>
          <t>隔离区和病毒处置证据属于 FUN-084；生产 ClamAV 与批准的类型清单仍待确认。</t>
        </is>
      </c>
    </row>
    <row r="10" ht="82" customHeight="1">
      <c r="A10" s="10" t="inlineStr">
        <is>
          <t>PLAN-004</t>
        </is>
      </c>
      <c r="B10" s="11" t="n">
        <v>46276</v>
      </c>
      <c r="C10" s="10" t="inlineStr">
        <is>
          <t>FUN-028</t>
        </is>
      </c>
      <c r="D10" s="10" t="inlineStr">
        <is>
          <t>产品支持组及工程师配置</t>
        </is>
      </c>
      <c r="E10" s="10" t="inlineStr">
        <is>
          <t>复验产品组自动建立、Owner、成员变更权限、跨组隔离、分派与多产品组范围。</t>
        </is>
      </c>
      <c r="F10" s="10" t="inlineStr">
        <is>
          <t>产品可配置支持组并按组派单；Owner/成员权限受控；跨产品组访问被拒。</t>
        </is>
      </c>
      <c r="G10" s="12" t="n">
        <v>0.75</v>
      </c>
      <c r="H10" s="10" t="inlineStr">
        <is>
          <t>已完成</t>
        </is>
      </c>
      <c r="I10" s="10" t="inlineStr">
        <is>
          <t>服务层、企业端和组织页回归通过；未改写工作树中已有的组织页面修改。</t>
        </is>
      </c>
      <c r="J10" s="10" t="inlineStr">
        <is>
          <t>Go 产品组/权限/分派回归及 Node 组织页 10 项测试：PASS。</t>
        </is>
      </c>
      <c r="K10" s="10" t="inlineStr">
        <is>
          <t>正式服务目录、专家联系人、合同和 OLA 数据仍由业务方提供。</t>
        </is>
      </c>
    </row>
    <row r="11" ht="82" customHeight="1">
      <c r="A11" s="7" t="inlineStr">
        <is>
          <t>PLAN-005</t>
        </is>
      </c>
      <c r="B11" s="8" t="n">
        <v>46276</v>
      </c>
      <c r="C11" s="7" t="inlineStr"/>
      <c r="D11" s="7" t="inlineStr">
        <is>
          <t>汇总回归与交付记录</t>
        </is>
      </c>
      <c r="E11" s="7" t="inlineStr">
        <is>
          <t>运行相关后端、配置、企业接口、组织页和 TypeScript 检查，记录结果与剩余风险。</t>
        </is>
      </c>
      <c r="F11" s="7" t="inlineStr">
        <is>
          <t>定向回归和类型检查通过；未完成的宽回归如实记录。</t>
        </is>
      </c>
      <c r="G11" s="9" t="n">
        <v>0.25</v>
      </c>
      <c r="H11" s="7" t="inlineStr">
        <is>
          <t>已完成</t>
        </is>
      </c>
      <c r="I11" s="7" t="inlineStr">
        <is>
          <t>相关定向测试全部通过；完整 services 包回归运行超过 4 分钟无输出后主动中止。</t>
        </is>
      </c>
      <c r="J11" s="7" t="inlineStr">
        <is>
          <t>见“验证记录”工作表。</t>
        </is>
      </c>
      <c r="K11" s="7" t="inlineStr">
        <is>
          <t>业务方 UAT、真实外部账号和生产安全扫描不在本次本地验证范围。</t>
        </is>
      </c>
    </row>
  </sheetData>
  <autoFilter ref="A6:K11"/>
  <mergeCells count="2">
    <mergeCell ref="A2:K2"/>
    <mergeCell ref="A1:K1"/>
  </mergeCells>
  <conditionalFormatting sqref="H7:H100">
    <cfRule type="expression" priority="1" dxfId="0">
      <formula>H7="已完成"</formula>
    </cfRule>
    <cfRule type="expression" priority="2" dxfId="1">
      <formula>H7="受阻"</formula>
    </cfRule>
  </conditionalFormatting>
  <dataValidations count="1">
    <dataValidation sqref="H7:H100" showDropDown="0" showInputMessage="0" showErrorMessage="0" allowBlank="0" type="list">
      <formula1>"待处理,进行中,已完成,受阻"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  <col width="34" customWidth="1" min="4" max="4"/>
    <col width="40" customWidth="1" min="5" max="5"/>
  </cols>
  <sheetData>
    <row r="1" ht="34" customHeight="1">
      <c r="A1" s="1" t="inlineStr">
        <is>
          <t>排期依据</t>
        </is>
      </c>
    </row>
    <row r="2" ht="30" customHeight="1">
      <c r="A2" s="2" t="inlineStr">
        <is>
          <t>将原修订讨论稿中的事实、假设和本周取舍分开记录，避免把讨论日期当成交付承诺。</t>
        </is>
      </c>
    </row>
    <row r="4" ht="30" customHeight="1">
      <c r="A4" s="6" t="inlineStr">
        <is>
          <t>项目</t>
        </is>
      </c>
      <c r="B4" s="6" t="inlineStr">
        <is>
          <t>原表信息</t>
        </is>
      </c>
      <c r="C4" s="6" t="inlineStr">
        <is>
          <t>本周判断</t>
        </is>
      </c>
      <c r="D4" s="6" t="inlineStr">
        <is>
          <t>来源/证据</t>
        </is>
      </c>
      <c r="E4" s="6" t="inlineStr">
        <is>
          <t>备注</t>
        </is>
      </c>
    </row>
    <row r="5" ht="56" customHeight="1">
      <c r="A5" s="7" t="inlineStr">
        <is>
          <t>功能总数</t>
        </is>
      </c>
      <c r="B5" s="7" t="n">
        <v>90</v>
      </c>
      <c r="C5" s="7" t="inlineStr">
        <is>
          <t>保持原范围，不尝试本周覆盖全部功能</t>
        </is>
      </c>
      <c r="D5" s="7" t="inlineStr">
        <is>
          <t>排期总览、功能完成排期</t>
        </is>
      </c>
      <c r="E5" s="7" t="inlineStr">
        <is>
          <t>原文覆盖和运行验收是两件事。</t>
        </is>
      </c>
    </row>
    <row r="6" ht="56" customHeight="1">
      <c r="A6" s="10" t="inlineStr">
        <is>
          <t>实现判断</t>
        </is>
      </c>
      <c r="B6" s="10" t="inlineStr">
        <is>
          <t>部分完成 47；待完成 28；待复验 12；待验证 3</t>
        </is>
      </c>
      <c r="C6" s="10" t="inlineStr">
        <is>
          <t>优先完成 3 个待验证项</t>
        </is>
      </c>
      <c r="D6" s="10" t="inlineStr">
        <is>
          <t>功能完成排期 D 列</t>
        </is>
      </c>
      <c r="E6" s="10" t="inlineStr">
        <is>
          <t>本周选择 FUN-021、FUN-028、FUN-083。</t>
        </is>
      </c>
    </row>
    <row r="7" ht="56" customHeight="1">
      <c r="A7" s="7" t="inlineStr">
        <is>
          <t>S0 原拟日期</t>
        </is>
      </c>
      <c r="B7" s="7" t="inlineStr">
        <is>
          <t>2026-09-14 至 2026-09-25</t>
        </is>
      </c>
      <c r="C7" s="7" t="inlineStr">
        <is>
          <t>本周作为 S0 前置验证周</t>
        </is>
      </c>
      <c r="D7" s="7" t="inlineStr">
        <is>
          <t>迭代计划 S0</t>
        </is>
      </c>
      <c r="E7" s="7" t="inlineStr">
        <is>
          <t>日期未获团队确认。</t>
        </is>
      </c>
    </row>
    <row r="8" ht="56" customHeight="1">
      <c r="A8" s="10" t="inlineStr">
        <is>
          <t>S0 原拟范围</t>
        </is>
      </c>
      <c r="B8" s="10" t="inlineStr">
        <is>
          <t>9 个功能项，每项原估 3 人日</t>
        </is>
      </c>
      <c r="C8" s="10" t="inlineStr">
        <is>
          <t>只承诺可独立验证的 3 项</t>
        </is>
      </c>
      <c r="D8" s="10" t="inlineStr">
        <is>
          <t>迭代计划、功能完成排期</t>
        </is>
      </c>
      <c r="E8" s="10" t="inlineStr">
        <is>
          <t>其余项目受身份源、SLA、专家或 Bot 规则约束。</t>
        </is>
      </c>
    </row>
    <row r="9" ht="56" customHeight="1">
      <c r="A9" s="7" t="inlineStr">
        <is>
          <t>M0 原拟目标</t>
        </is>
      </c>
      <c r="B9" s="7" t="inlineStr">
        <is>
          <t>2026-09-25：现状验证、范围和验收口径冻结</t>
        </is>
      </c>
      <c r="C9" s="7" t="inlineStr">
        <is>
          <t>本周先产生可复验技术证据</t>
        </is>
      </c>
      <c r="D9" s="7" t="inlineStr">
        <is>
          <t>排期总览 M0</t>
        </is>
      </c>
      <c r="E9" s="7" t="inlineStr">
        <is>
          <t>业务签收仍需负责人。</t>
        </is>
      </c>
    </row>
    <row r="10" ht="56" customHeight="1">
      <c r="A10" s="10" t="inlineStr">
        <is>
          <t>总体风险</t>
        </is>
      </c>
      <c r="B10" s="10" t="inlineStr">
        <is>
          <t>889 人日和 21 个双周迭代均待重估</t>
        </is>
      </c>
      <c r="C10" s="10" t="inlineStr">
        <is>
          <t>不以本周结果推导整体完工日</t>
        </is>
      </c>
      <c r="D10" s="10" t="inlineStr">
        <is>
          <t>排期总览第 11、28、30 行</t>
        </is>
      </c>
      <c r="E10" s="10" t="inlineStr">
        <is>
          <t>需真实团队容量和依赖日期。</t>
        </is>
      </c>
    </row>
  </sheetData>
  <autoFilter ref="A4:E10"/>
  <mergeCells count="2">
    <mergeCell ref="A2:E2"/>
    <mergeCell ref="A1:E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72" customWidth="1" min="3" max="3"/>
    <col width="14" customWidth="1" min="4" max="4"/>
    <col width="16" customWidth="1" min="5" max="5"/>
    <col width="46" customWidth="1" min="6" max="6"/>
  </cols>
  <sheetData>
    <row r="1" ht="34" customHeight="1">
      <c r="A1" s="1" t="inlineStr">
        <is>
          <t>验证记录</t>
        </is>
      </c>
    </row>
    <row r="2" ht="30" customHeight="1">
      <c r="A2" s="2" t="inlineStr">
        <is>
          <t>记录本次执行的可重复检查。PASS 表示本地自动化通过，不代表业务方 UAT 或生产环境验收。</t>
        </is>
      </c>
    </row>
    <row r="4" ht="30" customHeight="1">
      <c r="A4" s="6" t="inlineStr">
        <is>
          <t>编号</t>
        </is>
      </c>
      <c r="B4" s="6" t="inlineStr">
        <is>
          <t>范围</t>
        </is>
      </c>
      <c r="C4" s="6" t="inlineStr">
        <is>
          <t>命令/检查</t>
        </is>
      </c>
      <c r="D4" s="6" t="inlineStr">
        <is>
          <t>结果</t>
        </is>
      </c>
      <c r="E4" s="6" t="inlineStr">
        <is>
          <t>用时/数量</t>
        </is>
      </c>
      <c r="F4" s="6" t="inlineStr">
        <is>
          <t>说明</t>
        </is>
      </c>
    </row>
    <row r="5" ht="55" customHeight="1">
      <c r="A5" s="7" t="inlineStr">
        <is>
          <t>CHK-001</t>
        </is>
      </c>
      <c r="B5" s="7" t="inlineStr">
        <is>
          <t>FUN-021 + FUN-083 服务层</t>
        </is>
      </c>
      <c r="C5" s="7" t="inlineStr">
        <is>
          <t>go test ./internal/services -run 'Test(TicketAutoClose|InspectUpload)' -count=1</t>
        </is>
      </c>
      <c r="D5" s="7" t="inlineStr">
        <is>
          <t>PASS</t>
        </is>
      </c>
      <c r="E5" s="7" t="inlineStr">
        <is>
          <t>6.355s</t>
        </is>
      </c>
      <c r="F5" s="7" t="inlineStr">
        <is>
          <t>新增边界和安全用例通过。</t>
        </is>
      </c>
    </row>
    <row r="6" ht="55" customHeight="1">
      <c r="A6" s="10" t="inlineStr">
        <is>
          <t>CHK-002</t>
        </is>
      </c>
      <c r="B6" s="10" t="inlineStr">
        <is>
          <t>FUN-028 服务层</t>
        </is>
      </c>
      <c r="C6" s="10" t="inlineStr">
        <is>
          <t>go test ./internal/services -run '&lt;产品组/分派/权限相关用例&gt;' -count=1</t>
        </is>
      </c>
      <c r="D6" s="10" t="inlineStr">
        <is>
          <t>PASS</t>
        </is>
      </c>
      <c r="E6" s="10" t="inlineStr">
        <is>
          <t>1.259s</t>
        </is>
      </c>
      <c r="F6" s="10" t="inlineStr">
        <is>
          <t>覆盖跨组隔离、多产品组、分派和成员权限。</t>
        </is>
      </c>
    </row>
    <row r="7" ht="55" customHeight="1">
      <c r="A7" s="7" t="inlineStr">
        <is>
          <t>CHK-003</t>
        </is>
      </c>
      <c r="B7" s="7" t="inlineStr">
        <is>
          <t>FUN-028 企业接口 + FUN-083 上传集成</t>
        </is>
      </c>
      <c r="C7" s="7" t="inlineStr">
        <is>
          <t>go test ./internal/handlers/enterprise -run '&lt;相关企业接口用例&gt;' -count=1</t>
        </is>
      </c>
      <c r="D7" s="7" t="inlineStr">
        <is>
          <t>PASS</t>
        </is>
      </c>
      <c r="E7" s="7" t="inlineStr">
        <is>
          <t>1.001s</t>
        </is>
      </c>
      <c r="F7" s="7" t="inlineStr">
        <is>
          <t>覆盖 Owner 转移、产品范围和文档上传。</t>
        </is>
      </c>
    </row>
    <row r="8" ht="55" customHeight="1">
      <c r="A8" s="10" t="inlineStr">
        <is>
          <t>CHK-004</t>
        </is>
      </c>
      <c r="B8" s="10" t="inlineStr">
        <is>
          <t>配置</t>
        </is>
      </c>
      <c r="C8" s="10" t="inlineStr">
        <is>
          <t>go test ./internal/pkg/config -count=1</t>
        </is>
      </c>
      <c r="D8" s="10" t="inlineStr">
        <is>
          <t>PASS</t>
        </is>
      </c>
      <c r="E8" s="10" t="inlineStr">
        <is>
          <t>0.612s</t>
        </is>
      </c>
      <c r="F8" s="10" t="inlineStr">
        <is>
          <t>新增归档安全配置未破坏配置包。</t>
        </is>
      </c>
    </row>
    <row r="9" ht="55" customHeight="1">
      <c r="A9" s="7" t="inlineStr">
        <is>
          <t>CHK-005</t>
        </is>
      </c>
      <c r="B9" s="7" t="inlineStr">
        <is>
          <t>组织页</t>
        </is>
      </c>
      <c r="C9" s="7" t="inlineStr">
        <is>
          <t>node --test app/enterprise/org/member-name.test.mjs</t>
        </is>
      </c>
      <c r="D9" s="7" t="inlineStr">
        <is>
          <t>PASS</t>
        </is>
      </c>
      <c r="E9" s="7" t="inlineStr">
        <is>
          <t>10/10</t>
        </is>
      </c>
      <c r="F9" s="7" t="inlineStr">
        <is>
          <t>产品组成员选择、名称策略和组织视图通过。</t>
        </is>
      </c>
    </row>
    <row r="10" ht="55" customHeight="1">
      <c r="A10" s="10" t="inlineStr">
        <is>
          <t>CHK-006</t>
        </is>
      </c>
      <c r="B10" s="10" t="inlineStr">
        <is>
          <t>前端类型</t>
        </is>
      </c>
      <c r="C10" s="10" t="inlineStr">
        <is>
          <t>tsc --noEmit</t>
        </is>
      </c>
      <c r="D10" s="10" t="inlineStr">
        <is>
          <t>PASS</t>
        </is>
      </c>
      <c r="E10" s="10" t="inlineStr">
        <is>
          <t>完成</t>
        </is>
      </c>
      <c r="F10" s="10" t="inlineStr">
        <is>
          <t>直接使用已安装的 TypeScript 编译器检查。</t>
        </is>
      </c>
    </row>
    <row r="11" ht="55" customHeight="1">
      <c r="A11" s="7" t="inlineStr">
        <is>
          <t>CHK-007</t>
        </is>
      </c>
      <c r="B11" s="7" t="inlineStr">
        <is>
          <t>完整 Go 包宽回归</t>
        </is>
      </c>
      <c r="C11" s="7" t="inlineStr">
        <is>
          <t>go test ./internal/services ./internal/handlers/enterprise ./internal/pkg/config -count=1</t>
        </is>
      </c>
      <c r="D11" s="7" t="inlineStr">
        <is>
          <t>未完成</t>
        </is>
      </c>
      <c r="E11" s="7" t="inlineStr">
        <is>
          <t>&gt;4 分钟</t>
        </is>
      </c>
      <c r="F11" s="7" t="inlineStr">
        <is>
          <t>持续无输出后主动中止；不影响上述定向回归结论。</t>
        </is>
      </c>
    </row>
    <row r="12" ht="55" customHeight="1">
      <c r="A12" s="10" t="inlineStr">
        <is>
          <t>CHK-008</t>
        </is>
      </c>
      <c r="B12" s="10" t="inlineStr">
        <is>
          <t>代码差异</t>
        </is>
      </c>
      <c r="C12" s="10" t="inlineStr">
        <is>
          <t>git diff --check</t>
        </is>
      </c>
      <c r="D12" s="10" t="inlineStr">
        <is>
          <t>PASS</t>
        </is>
      </c>
      <c r="E12" s="10" t="inlineStr">
        <is>
          <t>完成</t>
        </is>
      </c>
      <c r="F12" s="10" t="inlineStr">
        <is>
          <t>未发现空白或补丁格式错误。</t>
        </is>
      </c>
    </row>
  </sheetData>
  <autoFilter ref="A4:F12"/>
  <mergeCells count="2">
    <mergeCell ref="A2:F2"/>
    <mergeCell ref="A1:F1"/>
  </mergeCells>
  <conditionalFormatting sqref="D5:D100">
    <cfRule type="expression" priority="1" dxfId="0">
      <formula>D5="PASS"</formula>
    </cfRule>
    <cfRule type="expression" priority="2" dxfId="2">
      <formula>D5="未完成"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6" customWidth="1" min="3" max="3"/>
    <col width="28" customWidth="1" min="4" max="4"/>
    <col width="18" customWidth="1" min="5" max="5"/>
    <col width="44" customWidth="1" min="6" max="6"/>
  </cols>
  <sheetData>
    <row r="1" ht="34" customHeight="1">
      <c r="A1" s="1" t="inlineStr">
        <is>
          <t>待确认事项</t>
        </is>
      </c>
    </row>
    <row r="2" ht="30" customHeight="1">
      <c r="A2" s="2" t="inlineStr">
        <is>
          <t>这些输入不阻塞本周代码交付，但会阻塞正式业务验收、生产启用或整体排期冻结。</t>
        </is>
      </c>
    </row>
    <row r="4" ht="30" customHeight="1">
      <c r="A4" s="6" t="inlineStr">
        <is>
          <t>优先级</t>
        </is>
      </c>
      <c r="B4" s="6" t="inlineStr">
        <is>
          <t>关联功能</t>
        </is>
      </c>
      <c r="C4" s="6" t="inlineStr">
        <is>
          <t>待确认内容</t>
        </is>
      </c>
      <c r="D4" s="6" t="inlineStr">
        <is>
          <t>建议负责人</t>
        </is>
      </c>
      <c r="E4" s="6" t="inlineStr">
        <is>
          <t>需要时间</t>
        </is>
      </c>
      <c r="F4" s="6" t="inlineStr">
        <is>
          <t>影响</t>
        </is>
      </c>
    </row>
    <row r="5" ht="62" customHeight="1">
      <c r="A5" s="7" t="inlineStr">
        <is>
          <t>高</t>
        </is>
      </c>
      <c r="B5" s="7" t="inlineStr">
        <is>
          <t>FUN-021</t>
        </is>
      </c>
      <c r="C5" s="7" t="inlineStr">
        <is>
          <t>批准自动关闭天数、例外类型、关闭前提醒和重开服务目标</t>
        </is>
      </c>
      <c r="D5" s="7" t="inlineStr">
        <is>
          <t>服务运营负责人</t>
        </is>
      </c>
      <c r="E5" s="7" t="inlineStr">
        <is>
          <t>S0 验收前</t>
        </is>
      </c>
      <c r="F5" s="7" t="inlineStr">
        <is>
          <t>无法形成正式关闭策略签收。</t>
        </is>
      </c>
    </row>
    <row r="6" ht="62" customHeight="1">
      <c r="A6" s="10" t="inlineStr">
        <is>
          <t>高</t>
        </is>
      </c>
      <c r="B6" s="10" t="inlineStr">
        <is>
          <t>FUN-083/FUN-084</t>
        </is>
      </c>
      <c r="C6" s="10" t="inlineStr">
        <is>
          <t>批准文件类型、大小、ZIP 限制；确认隔离区和病毒处置流程</t>
        </is>
      </c>
      <c r="D6" s="10" t="inlineStr">
        <is>
          <t>客户 IT/安全</t>
        </is>
      </c>
      <c r="E6" s="10" t="inlineStr">
        <is>
          <t>S0 验收前</t>
        </is>
      </c>
      <c r="F6" s="10" t="inlineStr">
        <is>
          <t>只能完成技术安全基线，不能关闭安全验收。</t>
        </is>
      </c>
    </row>
    <row r="7" ht="62" customHeight="1">
      <c r="A7" s="7" t="inlineStr">
        <is>
          <t>高</t>
        </is>
      </c>
      <c r="B7" s="7" t="inlineStr">
        <is>
          <t>FUN-028</t>
        </is>
      </c>
      <c r="C7" s="7" t="inlineStr">
        <is>
          <t>提供正式产品 Owner、成员和产品组映射</t>
        </is>
      </c>
      <c r="D7" s="7" t="inlineStr">
        <is>
          <t>产品/服务运营负责人</t>
        </is>
      </c>
      <c r="E7" s="7" t="inlineStr">
        <is>
          <t>S0 验收前</t>
        </is>
      </c>
      <c r="F7" s="7" t="inlineStr">
        <is>
          <t>当前只能用测试数据验证配置能力。</t>
        </is>
      </c>
    </row>
    <row r="8" ht="62" customHeight="1">
      <c r="A8" s="10" t="inlineStr">
        <is>
          <t>高</t>
        </is>
      </c>
      <c r="B8" s="10" t="inlineStr">
        <is>
          <t>S0 其余功能</t>
        </is>
      </c>
      <c r="C8" s="10" t="inlineStr">
        <is>
          <t>统一身份测试账号、SLA 规则、Bot 规则、专家及 OLA 数据</t>
        </is>
      </c>
      <c r="D8" s="10" t="inlineStr">
        <is>
          <t>客户 IT/业务负责人</t>
        </is>
      </c>
      <c r="E8" s="10" t="inlineStr">
        <is>
          <t>开发前</t>
        </is>
      </c>
      <c r="F8" s="10" t="inlineStr">
        <is>
          <t>受依赖项无法承诺本周完成。</t>
        </is>
      </c>
    </row>
    <row r="9" ht="62" customHeight="1">
      <c r="A9" s="7" t="inlineStr">
        <is>
          <t>中</t>
        </is>
      </c>
      <c r="B9" s="7" t="inlineStr">
        <is>
          <t>整体计划</t>
        </is>
      </c>
      <c r="C9" s="7" t="inlineStr">
        <is>
          <t>确认真实团队、每人投入、职责、节假日和并行容量</t>
        </is>
      </c>
      <c r="D9" s="7" t="inlineStr">
        <is>
          <t>项目负责人</t>
        </is>
      </c>
      <c r="E9" s="7" t="inlineStr">
        <is>
          <t>计划冻结前</t>
        </is>
      </c>
      <c r="F9" s="7" t="inlineStr">
        <is>
          <t>无法确认 889 人日和里程碑日期。</t>
        </is>
      </c>
    </row>
    <row r="10" ht="62" customHeight="1">
      <c r="A10" s="10" t="inlineStr">
        <is>
          <t>中</t>
        </is>
      </c>
      <c r="B10" s="10" t="inlineStr">
        <is>
          <t>总体架构</t>
        </is>
      </c>
      <c r="C10" s="10" t="inlineStr">
        <is>
          <t>确认遵循原文组件/事实源，或批准当前替代方案</t>
        </is>
      </c>
      <c r="D10" s="10" t="inlineStr">
        <is>
          <t>架构/项目负责人</t>
        </is>
      </c>
      <c r="E10" s="10" t="inlineStr">
        <is>
          <t>计划冻结前</t>
        </is>
      </c>
      <c r="F10" s="10" t="inlineStr">
        <is>
          <t>架构差异可能产生返工。</t>
        </is>
      </c>
    </row>
  </sheetData>
  <autoFilter ref="A4:F10"/>
  <mergeCells count="2">
    <mergeCell ref="A2:F2"/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2026-09-08T09:33:05Z</dcterms:created>
  <dcterms:modified xmlns:dcterms="http://purl.org/dc/terms/" xmlns:xsi="http://www.w3.org/2001/XMLSchema-instance" xsi:type="dcterms:W3CDTF">2026-09-08T09:33:05Z</dcterms:modified>
</cp:coreProperties>
</file>