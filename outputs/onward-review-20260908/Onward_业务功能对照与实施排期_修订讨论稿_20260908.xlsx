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f2b920e257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排期总览" sheetId="1" r:id="Rabd67e95a3984495"/>
    <x:sheet xmlns:r="http://schemas.openxmlformats.org/officeDocument/2006/relationships" name="功能完成排期" sheetId="2" r:id="Ra5476826576344cd"/>
    <x:sheet xmlns:r="http://schemas.openxmlformats.org/officeDocument/2006/relationships" name="迭代计划" sheetId="3" r:id="R7ce655ae10bd4ced"/>
    <x:sheet xmlns:r="http://schemas.openxmlformats.org/officeDocument/2006/relationships" name="外部准备项" sheetId="4" r:id="Rca3ac4d6d5284071"/>
    <x:sheet xmlns:r="http://schemas.openxmlformats.org/officeDocument/2006/relationships" name="优先执行清单" sheetId="5" r:id="R8826ae6d165c4660"/>
    <x:sheet xmlns:r="http://schemas.openxmlformats.org/officeDocument/2006/relationships" name="逐项核查依据" sheetId="6" r:id="Rc3d4df150361477a"/>
    <x:sheet xmlns:r="http://schemas.openxmlformats.org/officeDocument/2006/relationships" name="需求原文与范围" sheetId="7" r:id="R9605f6ba151b44a7"/>
  </x:sheets>
</x:workbook>
</file>

<file path=xl/sharedStrings.xml><?xml version="1.0" encoding="utf-8"?>
<x:sst xmlns:x="http://schemas.openxmlformats.org/spreadsheetml/2006/main">
  <x:si>
    <x:t xml:space="preserve">里程碑</x:t>
  </x:si>
  <x:si>
    <x:t xml:space="preserve">M0</x:t>
  </x:si>
  <x:si>
    <x:t xml:space="preserve">现状验证完成，功能范围和验收口径冻结</x:t>
  </x:si>
  <x:si>
    <x:t xml:space="preserve">M1</x:t>
  </x:si>
  <x:si>
    <x:t xml:space="preserve">身份、邮件受理、工单类型、事件关联和SLA日历可验收</x:t>
  </x:si>
  <x:si>
    <x:t xml:space="preserve">M2</x:t>
  </x:si>
  <x:si>
    <x:t xml:space="preserve">双时钟、知识/机器人治理、服务目录和专家协作可验收</x:t>
  </x:si>
  <x:si>
    <x:t xml:space="preserve">M3</x:t>
  </x:si>
  <x:si>
    <x:t xml:space="preserve">WhatsApp、阿语、监控转工单和QA抽样可验收</x:t>
  </x:si>
  <x:si>
    <x:t xml:space="preserve">M4</x:t>
  </x:si>
  <x:si>
    <x:t xml:space="preserve">QA、完整月报、数据治理和退出交接可验收</x:t>
  </x:si>
  <x:si>
    <x:t xml:space="preserve">M5</x:t>
  </x:si>
  <x:si>
    <x:t xml:space="preserve">全链路回归、UAT签收和上线准备完成</x:t>
  </x:si>
  <x:si>
    <x:t xml:space="preserve">迭代</x:t>
  </x:si>
  <x:si>
    <x:t xml:space="preserve">阶段主题</x:t>
  </x:si>
  <x:si>
    <x:t xml:space="preserve">功能数</x:t>
  </x:si>
  <x:si>
    <x:t xml:space="preserve">负责人角色</x:t>
  </x:si>
  <x:si>
    <x:t xml:space="preserve">S0</x:t>
  </x:si>
  <x:si>
    <x:t xml:space="preserve">现状验证与范围冻结
验证已有实现，冻结验收口径和优先级</x:t>
  </x:si>
  <x:si>
    <x:t xml:space="preserve">后端A + 前端A + QA；后端B + 前端B + QA</x:t>
  </x:si>
  <x:si>
    <x:t xml:space="preserve">S1</x:t>
  </x:si>
  <x:si>
    <x:t xml:space="preserve">身份权限与邮件入口
补角色矩阵和MFA基础；确定邮件受理方案</x:t>
  </x:si>
  <x:si>
    <x:t xml:space="preserve">后端A + 前端A + QA</x:t>
  </x:si>
  <x:si>
    <x:t xml:space="preserve">S2</x:t>
  </x:si>
  <x:si>
    <x:t xml:space="preserve">人员生命周期与邮件收取
完成离职撤权；实现邮件收取和初次建单</x:t>
  </x:si>
  <x:si>
    <x:t xml:space="preserve">前端B + 后端B + QA；后端A + 前端A + QA</x:t>
  </x:si>
  <x:si>
    <x:t xml:space="preserve">S3</x:t>
  </x:si>
  <x:si>
    <x:t xml:space="preserve">邮件线程与工单模型
邮件回复归单、防循环；扩展标准工单类型</x:t>
  </x:si>
  <x:si>
    <x:t xml:space="preserve">S4</x:t>
  </x:si>
  <x:si>
    <x:t xml:space="preserve">优先级、责任人与审计
完善优先级判定、行政负责人和关键审计</x:t>
  </x:si>
  <x:si>
    <x:t xml:space="preserve">S5</x:t>
  </x:si>
  <x:si>
    <x:t xml:space="preserve">事件关联与SLA日历
关联多个客户问题；完善服务日历和目标套餐</x:t>
  </x:si>
  <x:si>
    <x:t xml:space="preserve">S6</x:t>
  </x:si>
  <x:si>
    <x:t xml:space="preserve">双责任时钟与知识治理
实现端到端/己方双时钟；补知识审批门禁</x:t>
  </x:si>
  <x:si>
    <x:t xml:space="preserve">S7</x:t>
  </x:si>
  <x:si>
    <x:t xml:space="preserve">SLA升级与已知错误
补独立目标、升级、模拟；建立Known Error</x:t>
  </x:si>
  <x:si>
    <x:t xml:space="preserve">S8</x:t>
  </x:si>
  <x:si>
    <x:t xml:space="preserve">机器人治理与服务目录
完善转人工、安全动作和服务目录</x:t>
  </x:si>
  <x:si>
    <x:t xml:space="preserve">后端B + 前端B + QA</x:t>
  </x:si>
  <x:si>
    <x:t xml:space="preserve">S9</x:t>
  </x:si>
  <x:si>
    <x:t xml:space="preserve">英文与专家合同
清理英文界面；配置专家合同、OLA和目录版本</x:t>
  </x:si>
  <x:si>
    <x:t xml:space="preserve">前端B + 后端B + QA；后端B + 前端B + QA</x:t>
  </x:si>
  <x:si>
    <x:t xml:space="preserve">S10</x:t>
  </x:si>
  <x:si>
    <x:t xml:space="preserve">专家协作闭环
完善专家交接、回交、催办和服务限制</x:t>
  </x:si>
  <x:si>
    <x:t xml:space="preserve">S11</x:t>
  </x:si>
  <x:si>
    <x:t xml:space="preserve">WhatsApp与阿语基础
接入WhatsApp基础收发；完成阿语和RTL基础</x:t>
  </x:si>
  <x:si>
    <x:t xml:space="preserve">S12</x:t>
  </x:si>
  <x:si>
    <x:t xml:space="preserve">渠道可靠性与监控入口
补消息回执重试；建设监控检查入口</x:t>
  </x:si>
  <x:si>
    <x:t xml:space="preserve">S13</x:t>
  </x:si>
  <x:si>
    <x:t xml:space="preserve">监控事件闭环
完成告警关联、归并、恢复和维护窗口规则</x:t>
  </x:si>
  <x:si>
    <x:t xml:space="preserve">S14</x:t>
  </x:si>
  <x:si>
    <x:t xml:space="preserve">QA抽样与报告口径
建立QA抽样；补服务量和数字追溯口径</x:t>
  </x:si>
  <x:si>
    <x:t xml:space="preserve">S15</x:t>
  </x:si>
  <x:si>
    <x:t xml:space="preserve">QA评分与证据
上线版本化评分卡和缺陷证据评审</x:t>
  </x:si>
  <x:si>
    <x:t xml:space="preserve">S16</x:t>
  </x:si>
  <x:si>
    <x:t xml:space="preserve">QA整改闭环
完成争议、辅导、质量分析和严重缺陷调查</x:t>
  </x:si>
  <x:si>
    <x:t xml:space="preserve">S17</x:t>
  </x:si>
  <x:si>
    <x:t xml:space="preserve">完整月报与多格式导出
完成月报主体及PDF、Excel、CSV导出</x:t>
  </x:si>
  <x:si>
    <x:t xml:space="preserve">S18</x:t>
  </x:si>
  <x:si>
    <x:t xml:space="preserve">报告治理与数据控制
补报告版本审核；完善导出、隔离和留存</x:t>
  </x:si>
  <x:si>
    <x:t xml:space="preserve">S19</x:t>
  </x:si>
  <x:si>
    <x:t xml:space="preserve">法律保留与退出交接
完成Legal Hold、客户数据请求和退出包</x:t>
  </x:si>
  <x:si>
    <x:t xml:space="preserve">S20</x:t>
  </x:si>
  <x:si>
    <x:t xml:space="preserve">全链路回归与上线验收
跨角色、跨渠道回归，修复阻塞缺陷并签收</x:t>
  </x:si>
  <x:si>
    <x:t xml:space="preserve">准备项</x:t>
  </x:si>
  <x:si>
    <x:t xml:space="preserve">需要提供的内容</x:t>
  </x:si>
  <x:si>
    <x:t xml:space="preserve">影响功能</x:t>
  </x:si>
  <x:si>
    <x:t xml:space="preserve">未按时提供的影响</x:t>
  </x:si>
  <x:si>
    <x:t xml:space="preserve">责任方</x:t>
  </x:si>
  <x:si>
    <x:t xml:space="preserve">角色和身份策略</x:t>
  </x:si>
  <x:si>
    <x:t xml:space="preserve">角色矩阵、统一身份源测试账号、MFA方式、离职撤权时限</x:t>
  </x:si>
  <x:si>
    <x:t xml:space="preserve">IAM与账号生命周期</x:t>
  </x:si>
  <x:si>
    <x:t xml:space="preserve">身份权限迭代无法验收</x:t>
  </x:si>
  <x:si>
    <x:t xml:space="preserve">客户IT/业务负责人</x:t>
  </x:si>
  <x:si>
    <x:t xml:space="preserve">待提供</x:t>
  </x:si>
  <x:si>
    <x:t xml:space="preserve">收件邮箱</x:t>
  </x:si>
  <x:si>
    <x:t xml:space="preserve">可用于联调的收件地址、IMAP/OAuth参数、发件域和邮件样本</x:t>
  </x:si>
  <x:si>
    <x:t xml:space="preserve">邮件建单、线程归单、防循环</x:t>
  </x:si>
  <x:si>
    <x:t xml:space="preserve">邮件受理功能顺延</x:t>
  </x:si>
  <x:si>
    <x:t xml:space="preserve">客户IT</x:t>
  </x:si>
  <x:si>
    <x:t xml:space="preserve">SLA规则</x:t>
  </x:si>
  <x:si>
    <x:t xml:space="preserve">服务等级、营业日历、节假日、时区、暂停审批和升级名单</x:t>
  </x:si>
  <x:si>
    <x:t xml:space="preserve">全部SLA与提醒</x:t>
  </x:si>
  <x:si>
    <x:t xml:space="preserve">只能完成技术能力，不能按业务口径验收</x:t>
  </x:si>
  <x:si>
    <x:t xml:space="preserve">服务运营负责人</x:t>
  </x:si>
  <x:si>
    <x:t xml:space="preserve">知识和机器人规则</x:t>
  </x:si>
  <x:si>
    <x:t xml:space="preserve">获批知识、敏感意图、高风险动作清单、低置信度阈值</x:t>
  </x:si>
  <x:si>
    <x:t xml:space="preserve">知识治理、Bot转人工</x:t>
  </x:si>
  <x:si>
    <x:t xml:space="preserve">机器人治理验收顺延</x:t>
  </x:si>
  <x:si>
    <x:t xml:space="preserve">产品/合规负责人</x:t>
  </x:si>
  <x:si>
    <x:t xml:space="preserve">服务目录和专家资料</x:t>
  </x:si>
  <x:si>
    <x:t xml:space="preserve">服务/组件Owner、专家联系人、合同、OLA、交接模板</x:t>
  </x:si>
  <x:si>
    <x:t xml:space="preserve">专家目录与协作</x:t>
  </x:si>
  <x:si>
    <x:t xml:space="preserve">专家协作只能使用演示数据</x:t>
  </x:si>
  <x:si>
    <x:t xml:space="preserve">WhatsApp资源</x:t>
  </x:si>
  <x:si>
    <x:t xml:space="preserve">Meta Business账号、WABA、测试号码、Webhook权限、模板审批</x:t>
  </x:si>
  <x:si>
    <x:t xml:space="preserve">WhatsApp接待与转人工</x:t>
  </x:si>
  <x:si>
    <x:t xml:space="preserve">数字渠道迭代整体顺延</x:t>
  </x:si>
  <x:si>
    <x:t xml:space="preserve">客户市场/IT</x:t>
  </x:si>
  <x:si>
    <x:t xml:space="preserve">阿语验收资源</x:t>
  </x:si>
  <x:si>
    <x:t xml:space="preserve">阿语术语表、翻译审校人员、RTL验收设备和场景</x:t>
  </x:si>
  <x:si>
    <x:t xml:space="preserve">阿语界面、通知和导出</x:t>
  </x:si>
  <x:si>
    <x:t xml:space="preserve">只能完成机器翻译初稿，不能业务签收</x:t>
  </x:si>
  <x:si>
    <x:t xml:space="preserve">客户业务负责人</x:t>
  </x:si>
  <x:si>
    <x:t xml:space="preserve">监控样本</x:t>
  </x:si>
  <x:si>
    <x:t xml:space="preserve">HTTP/TCP/DNS测试目标、告警样本、事件指纹和维护窗口</x:t>
  </x:si>
  <x:si>
    <x:t xml:space="preserve">监控转工单</x:t>
  </x:si>
  <x:si>
    <x:t xml:space="preserve">无法完成真实告警闭环</x:t>
  </x:si>
  <x:si>
    <x:t xml:space="preserve">客户运维</x:t>
  </x:si>
  <x:si>
    <x:t xml:space="preserve">QA制度</x:t>
  </x:si>
  <x:si>
    <x:t xml:space="preserve">抽样比例、评分卡、缺陷码、申诉和辅导流程</x:t>
  </x:si>
  <x:si>
    <x:t xml:space="preserve">质量抽检</x:t>
  </x:si>
  <x:si>
    <x:t xml:space="preserve">QA模块缺少正式业务口径</x:t>
  </x:si>
  <x:si>
    <x:t xml:space="preserve">质量负责人</x:t>
  </x:si>
  <x:si>
    <x:t xml:space="preserve">月报模板和口径</x:t>
  </x:si>
  <x:si>
    <x:t xml:space="preserve">月报样例、指标定义、截止水位、审批人和收件人</x:t>
  </x:si>
  <x:si>
    <x:t xml:space="preserve">统计、报告和交付</x:t>
  </x:si>
  <x:si>
    <x:t xml:space="preserve">报表数字无法完成业务签收</x:t>
  </x:si>
  <x:si>
    <x:t xml:space="preserve">服务运营/财务</x:t>
  </x:si>
  <x:si>
    <x:t xml:space="preserve">数据政策</x:t>
  </x:si>
  <x:si>
    <x:t xml:space="preserve">各类数据留存期限、Legal Hold批准流程、退出交接范围</x:t>
  </x:si>
  <x:si>
    <x:t xml:space="preserve">留存、法律保留、客户导出、退出包</x:t>
  </x:si>
  <x:si>
    <x:t xml:space="preserve">数据治理功能无法验收</x:t>
  </x:si>
  <x:si>
    <x:t xml:space="preserve">法务/合规/客户IT</x:t>
  </x:si>
  <x:si>
    <x:t xml:space="preserve">顺序</x:t>
  </x:si>
  <x:si>
    <x:t xml:space="preserve">功能ID</x:t>
  </x:si>
  <x:si>
    <x:t xml:space="preserve">业务模块</x:t>
  </x:si>
  <x:si>
    <x:t xml:space="preserve">需求功能</x:t>
  </x:si>
  <x:si>
    <x:t xml:space="preserve">优先级</x:t>
  </x:si>
  <x:si>
    <x:t xml:space="preserve">FUN-008</x:t>
  </x:si>
  <x:si>
    <x:t xml:space="preserve">FUN-031</x:t>
  </x:si>
  <x:si>
    <x:t xml:space="preserve">FUN-037</x:t>
  </x:si>
  <x:si>
    <x:t xml:space="preserve">FUN-083</x:t>
  </x:si>
  <x:si>
    <x:t xml:space="preserve">FUN-004</x:t>
  </x:si>
  <x:si>
    <x:t xml:space="preserve">FUN-021</x:t>
  </x:si>
  <x:si>
    <x:t xml:space="preserve">FUN-025</x:t>
  </x:si>
  <x:si>
    <x:t xml:space="preserve">FUN-028</x:t>
  </x:si>
  <x:si>
    <x:t xml:space="preserve">FUN-054</x:t>
  </x:si>
  <x:si>
    <x:t xml:space="preserve">FUN-003</x:t>
  </x:si>
  <x:si>
    <x:t xml:space="preserve">FUN-005</x:t>
  </x:si>
  <x:si>
    <x:t xml:space="preserve">FUN-013</x:t>
  </x:si>
  <x:si>
    <x:t xml:space="preserve">FUN-014</x:t>
  </x:si>
  <x:si>
    <x:t xml:space="preserve">FUN-038</x:t>
  </x:si>
  <x:si>
    <x:t xml:space="preserve">FUN-006</x:t>
  </x:si>
  <x:si>
    <x:t xml:space="preserve">FUN-010</x:t>
  </x:si>
  <x:si>
    <x:t xml:space="preserve">FUN-063</x:t>
  </x:si>
  <x:si>
    <x:t xml:space="preserve">FUN-090</x:t>
  </x:si>
  <x:si>
    <x:t xml:space="preserve">FUN-011</x:t>
  </x:si>
  <x:si>
    <x:t xml:space="preserve">FUN-022</x:t>
  </x:si>
  <x:si>
    <x:t xml:space="preserve">FUN-012</x:t>
  </x:si>
  <x:si>
    <x:t xml:space="preserve">FUN-023</x:t>
  </x:si>
  <x:si>
    <x:t xml:space="preserve">FUN-024</x:t>
  </x:si>
  <x:si>
    <x:t xml:space="preserve">FUN-007</x:t>
  </x:si>
  <x:si>
    <x:t xml:space="preserve">FUN-085</x:t>
  </x:si>
  <x:si>
    <x:t xml:space="preserve">FUN-026</x:t>
  </x:si>
  <x:si>
    <x:t xml:space="preserve">FUN-039</x:t>
  </x:si>
  <x:si>
    <x:t xml:space="preserve">FUN-027</x:t>
  </x:si>
  <x:si>
    <x:t xml:space="preserve">FUN-040</x:t>
  </x:si>
  <x:si>
    <x:t xml:space="preserve">FUN-041</x:t>
  </x:si>
  <x:si>
    <x:t xml:space="preserve">FUN-042</x:t>
  </x:si>
  <x:si>
    <x:t xml:space="preserve">FUN-043</x:t>
  </x:si>
  <x:si>
    <x:t xml:space="preserve">FUN-044</x:t>
  </x:si>
  <x:si>
    <x:t xml:space="preserve">FUN-048</x:t>
  </x:si>
  <x:si>
    <x:t xml:space="preserve">FUN-049</x:t>
  </x:si>
  <x:si>
    <x:t xml:space="preserve">FUN-045</x:t>
  </x:si>
  <x:si>
    <x:t xml:space="preserve">FUN-050</x:t>
  </x:si>
  <x:si>
    <x:t xml:space="preserve">FUN-052</x:t>
  </x:si>
  <x:si>
    <x:t xml:space="preserve">FUN-053</x:t>
  </x:si>
  <x:si>
    <x:t xml:space="preserve">FUN-055</x:t>
  </x:si>
  <x:si>
    <x:t xml:space="preserve">FUN-051</x:t>
  </x:si>
  <x:si>
    <x:t xml:space="preserve">FUN-029</x:t>
  </x:si>
  <x:si>
    <x:t xml:space="preserve">FUN-030</x:t>
  </x:si>
  <x:si>
    <x:t xml:space="preserve">FUN-056</x:t>
  </x:si>
  <x:si>
    <x:t xml:space="preserve">FUN-034</x:t>
  </x:si>
  <x:si>
    <x:t xml:space="preserve">FUN-061</x:t>
  </x:si>
  <x:si>
    <x:t xml:space="preserve">FUN-032</x:t>
  </x:si>
  <x:si>
    <x:t xml:space="preserve">FUN-033</x:t>
  </x:si>
  <x:si>
    <x:t xml:space="preserve">FUN-035</x:t>
  </x:si>
  <x:si>
    <x:t xml:space="preserve">FUN-036</x:t>
  </x:si>
  <x:si>
    <x:t xml:space="preserve">FUN-062</x:t>
  </x:si>
  <x:si>
    <x:t xml:space="preserve">FUN-057</x:t>
  </x:si>
  <x:si>
    <x:t xml:space="preserve">FUN-058</x:t>
  </x:si>
  <x:si>
    <x:t xml:space="preserve">FUN-059</x:t>
  </x:si>
  <x:si>
    <x:t xml:space="preserve">FUN-060</x:t>
  </x:si>
  <x:si>
    <x:t xml:space="preserve">FUN-064</x:t>
  </x:si>
  <x:si>
    <x:t xml:space="preserve">FUN-065</x:t>
  </x:si>
  <x:si>
    <x:t xml:space="preserve">FUN-067</x:t>
  </x:si>
  <x:si>
    <x:t xml:space="preserve">FUN-066</x:t>
  </x:si>
  <x:si>
    <x:t xml:space="preserve">FUN-069</x:t>
  </x:si>
  <x:si>
    <x:t xml:space="preserve">FUN-078</x:t>
  </x:si>
  <x:si>
    <x:t xml:space="preserve">FUN-079</x:t>
  </x:si>
  <x:si>
    <x:t xml:space="preserve">FUN-068</x:t>
  </x:si>
  <x:si>
    <x:t xml:space="preserve">FUN-070</x:t>
  </x:si>
  <x:si>
    <x:t xml:space="preserve">FUN-071</x:t>
  </x:si>
  <x:si>
    <x:t xml:space="preserve">FUN-072</x:t>
  </x:si>
  <x:si>
    <x:t xml:space="preserve">FUN-073</x:t>
  </x:si>
  <x:si>
    <x:t xml:space="preserve">FUN-074</x:t>
  </x:si>
  <x:si>
    <x:t xml:space="preserve">FUN-076</x:t>
  </x:si>
  <x:si>
    <x:t xml:space="preserve">FUN-077</x:t>
  </x:si>
  <x:si>
    <x:t xml:space="preserve">FUN-084</x:t>
  </x:si>
  <x:si>
    <x:t xml:space="preserve">FUN-080</x:t>
  </x:si>
  <x:si>
    <x:t xml:space="preserve">FUN-081</x:t>
  </x:si>
  <x:si>
    <x:t xml:space="preserve">FUN-082</x:t>
  </x:si>
  <x:si>
    <x:t xml:space="preserve">FUN-086</x:t>
  </x:si>
  <x:si>
    <x:t xml:space="preserve">FUN-087</x:t>
  </x:si>
  <x:si>
    <x:t xml:space="preserve">FUN-089</x:t>
  </x:si>
  <x:si>
    <x:t xml:space="preserve">FUN-088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</x:si>
</x:sst>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yyyy-mm-dd"/>
    <x:numFmt numFmtId="201" formatCode="0"/>
  </x:numFmts>
  <x:fonts count="39">
    <x:font>
      <x:sz val="11"/>
      <x:color theme="1"/>
      <x:name val="宋体"/>
    </x:font>
    <x:font>
      <x:b/>
      <x:sz val="10"/>
      <x:color rgb="FFFFFFFF"/>
      <x:name val="Arial"/>
    </x:font>
    <x:font>
      <x:sz val="10"/>
      <x:color rgb="FF253746"/>
      <x:name val="Arial"/>
    </x:font>
    <x:font>
      <x:b/>
      <x:sz val="10"/>
      <x:color rgb="FF1F4E79"/>
      <x:name val="Arial"/>
    </x:font>
    <x:font>
      <x:sz val="10"/>
      <x:color rgb="FF253746"/>
      <x:name val="宋体"/>
    </x:font>
    <x:font>
      <x:b/>
      <x:sz val="10"/>
      <x:color rgb="FF7F6000"/>
      <x:name val="Arial"/>
    </x:font>
    <x:font>
      <x:b/>
      <x:sz val="10"/>
      <x:color rgb="FF9C0006"/>
      <x:name val="Arial"/>
    </x:font>
    <x:font>
      <x:sz val="10"/>
      <x:color rgb="FF1F4E79"/>
      <x:name val="Arial"/>
    </x:font>
    <x:font>
      <x:b/>
      <x:sz val="10"/>
      <x:color rgb="FF375623"/>
      <x:name val="Arial"/>
    </x:font>
    <x:font>
      <x:b/>
      <x:sz val="20"/>
      <x:color rgb="FFFFFFFF"/>
      <x:name val="Arial"/>
    </x:font>
    <x:font>
      <x:sz val="10"/>
      <x:color rgb="FFDDE8F0"/>
      <x:name val="Arial"/>
    </x:font>
    <x:font>
      <x:b/>
      <x:sz val="10"/>
      <x:color rgb="FF425466"/>
      <x:name val="Arial"/>
    </x:font>
    <x:font>
      <x:b/>
      <x:sz val="18"/>
      <x:color rgb="FF17324D"/>
      <x:name val="Arial"/>
    </x:font>
    <x:font>
      <x:b/>
      <x:sz val="12"/>
      <x:color rgb="FFFFFFFF"/>
      <x:name val="Arial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18"/>
      <x:color rgb="FF17324D"/>
      <x:name val="宋体"/>
    </x:font>
    <x:font>
      <x:b/>
      <x:sz val="10"/>
      <x:color rgb="FF263747"/>
      <x:name val="Arial"/>
    </x:font>
    <x:font>
      <x:sz val="10"/>
      <x:color rgb="FF263747"/>
      <x:name val="Arial"/>
    </x:font>
    <x:font>
      <x:b/>
      <x:sz val="16"/>
      <x:color rgb="FF263747"/>
      <x:name val="Arial"/>
    </x:font>
    <x:font>
      <x:sz val="12"/>
      <x:color rgb="FF263747"/>
      <x:name val="Arial"/>
    </x:font>
    <x:font>
      <x:b/>
      <x:sz val="15"/>
      <x:color rgb="FF17324B"/>
      <x:name val="Arial"/>
    </x:font>
  </x:fonts>
  <x:fills count="44">
    <x:fill>
      <x:patternFill patternType="none"/>
    </x:fill>
    <x:fill>
      <x:patternFill patternType="gray125"/>
    </x:fill>
    <x:fill>
      <x:patternFill patternType="solid">
        <x:fgColor rgb="FF246B8E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17324D"/>
      </x:patternFill>
    </x:fill>
    <x:fill>
      <x:patternFill patternType="solid">
        <x:fgColor rgb="FFEEF1F4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216D89"/>
      </x:patternFill>
    </x:fill>
    <x:fill>
      <x:patternFill patternType="solid">
        <x:fgColor rgb="FFFFFFFF"/>
      </x:patternFill>
    </x:fill>
    <x:fill>
      <x:patternFill patternType="solid">
        <x:fgColor rgb="FFFFF1CC"/>
      </x:patternFill>
    </x:fill>
  </x:fills>
  <x:borders count="10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0" fillId="10" borderId="2" applyNumberFormat="0" applyFont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3" applyNumberFormat="0" applyFill="0" applyAlignment="0" applyProtection="0">
      <x:alignment vertical="center"/>
    </x:xf>
    <x:xf numFmtId="0" fontId="20" fillId="0" borderId="3" applyNumberFormat="0" applyFill="0" applyAlignment="0" applyProtection="0">
      <x:alignment vertical="center"/>
    </x:xf>
    <x:xf numFmtId="0" fontId="21" fillId="0" borderId="4" applyNumberFormat="0" applyFill="0" applyAlignment="0" applyProtection="0">
      <x:alignment vertical="center"/>
    </x:xf>
    <x:xf numFmtId="0" fontId="21" fillId="0" borderId="0" applyNumberFormat="0" applyFill="0" applyBorder="0" applyAlignment="0" applyProtection="0">
      <x:alignment vertical="center"/>
    </x:xf>
    <x:xf numFmtId="0" fontId="22" fillId="11" borderId="5" applyNumberFormat="0" applyAlignment="0" applyProtection="0">
      <x:alignment vertical="center"/>
    </x:xf>
    <x:xf numFmtId="0" fontId="23" fillId="12" borderId="6" applyNumberFormat="0" applyAlignment="0" applyProtection="0">
      <x:alignment vertical="center"/>
    </x:xf>
    <x:xf numFmtId="0" fontId="24" fillId="12" borderId="5" applyNumberFormat="0" applyAlignment="0" applyProtection="0">
      <x:alignment vertical="center"/>
    </x:xf>
    <x:xf numFmtId="0" fontId="25" fillId="13" borderId="7" applyNumberFormat="0" applyAlignment="0" applyProtection="0">
      <x:alignment vertical="center"/>
    </x:xf>
    <x:xf numFmtId="0" fontId="26" fillId="0" borderId="8" applyNumberFormat="0" applyFill="0" applyAlignment="0" applyProtection="0">
      <x:alignment vertical="center"/>
    </x:xf>
    <x:xf numFmtId="0" fontId="27" fillId="0" borderId="9" applyNumberFormat="0" applyFill="0" applyAlignment="0" applyProtection="0">
      <x:alignment vertical="center"/>
    </x:xf>
    <x:xf numFmtId="0" fontId="28" fillId="14" borderId="0" applyNumberFormat="0" applyBorder="0" applyAlignment="0" applyProtection="0">
      <x:alignment vertical="center"/>
    </x:xf>
    <x:xf numFmtId="0" fontId="29" fillId="15" borderId="0" applyNumberFormat="0" applyBorder="0" applyAlignment="0" applyProtection="0">
      <x:alignment vertical="center"/>
    </x:xf>
    <x:xf numFmtId="0" fontId="30" fillId="16" borderId="0" applyNumberFormat="0" applyBorder="0" applyAlignment="0" applyProtection="0">
      <x:alignment vertical="center"/>
    </x:xf>
    <x:xf numFmtId="0" fontId="31" fillId="17" borderId="0" applyNumberFormat="0" applyBorder="0" applyAlignment="0" applyProtection="0">
      <x:alignment vertical="center"/>
    </x:xf>
    <x:xf numFmtId="0" fontId="32" fillId="18" borderId="0" applyNumberFormat="0" applyBorder="0" applyAlignment="0" applyProtection="0">
      <x:alignment vertical="center"/>
    </x:xf>
    <x:xf numFmtId="0" fontId="32" fillId="19" borderId="0" applyNumberFormat="0" applyBorder="0" applyAlignment="0" applyProtection="0">
      <x:alignment vertical="center"/>
    </x:xf>
    <x:xf numFmtId="0" fontId="31" fillId="20" borderId="0" applyNumberFormat="0" applyBorder="0" applyAlignment="0" applyProtection="0">
      <x:alignment vertical="center"/>
    </x:xf>
    <x:xf numFmtId="0" fontId="31" fillId="21" borderId="0" applyNumberFormat="0" applyBorder="0" applyAlignment="0" applyProtection="0">
      <x:alignment vertical="center"/>
    </x:xf>
    <x:xf numFmtId="0" fontId="32" fillId="22" borderId="0" applyNumberFormat="0" applyBorder="0" applyAlignment="0" applyProtection="0">
      <x:alignment vertical="center"/>
    </x:xf>
    <x:xf numFmtId="0" fontId="32" fillId="23" borderId="0" applyNumberFormat="0" applyBorder="0" applyAlignment="0" applyProtection="0">
      <x:alignment vertical="center"/>
    </x:xf>
    <x:xf numFmtId="0" fontId="31" fillId="24" borderId="0" applyNumberFormat="0" applyBorder="0" applyAlignment="0" applyProtection="0">
      <x:alignment vertical="center"/>
    </x:xf>
    <x:xf numFmtId="0" fontId="31" fillId="25" borderId="0" applyNumberFormat="0" applyBorder="0" applyAlignment="0" applyProtection="0">
      <x:alignment vertical="center"/>
    </x:xf>
    <x:xf numFmtId="0" fontId="32" fillId="26" borderId="0" applyNumberFormat="0" applyBorder="0" applyAlignment="0" applyProtection="0">
      <x:alignment vertical="center"/>
    </x:xf>
    <x:xf numFmtId="0" fontId="32" fillId="27" borderId="0" applyNumberFormat="0" applyBorder="0" applyAlignment="0" applyProtection="0">
      <x:alignment vertical="center"/>
    </x:xf>
    <x:xf numFmtId="0" fontId="31" fillId="28" borderId="0" applyNumberFormat="0" applyBorder="0" applyAlignment="0" applyProtection="0">
      <x:alignment vertical="center"/>
    </x:xf>
    <x:xf numFmtId="0" fontId="31" fillId="29" borderId="0" applyNumberFormat="0" applyBorder="0" applyAlignment="0" applyProtection="0">
      <x:alignment vertical="center"/>
    </x:xf>
    <x:xf numFmtId="0" fontId="32" fillId="30" borderId="0" applyNumberFormat="0" applyBorder="0" applyAlignment="0" applyProtection="0">
      <x:alignment vertical="center"/>
    </x:xf>
    <x:xf numFmtId="0" fontId="32" fillId="31" borderId="0" applyNumberFormat="0" applyBorder="0" applyAlignment="0" applyProtection="0">
      <x:alignment vertical="center"/>
    </x:xf>
    <x:xf numFmtId="0" fontId="31" fillId="32" borderId="0" applyNumberFormat="0" applyBorder="0" applyAlignment="0" applyProtection="0">
      <x:alignment vertical="center"/>
    </x:xf>
    <x:xf numFmtId="0" fontId="31" fillId="33" borderId="0" applyNumberFormat="0" applyBorder="0" applyAlignment="0" applyProtection="0">
      <x:alignment vertical="center"/>
    </x:xf>
    <x:xf numFmtId="0" fontId="32" fillId="34" borderId="0" applyNumberFormat="0" applyBorder="0" applyAlignment="0" applyProtection="0">
      <x:alignment vertical="center"/>
    </x:xf>
    <x:xf numFmtId="0" fontId="32" fillId="35" borderId="0" applyNumberFormat="0" applyBorder="0" applyAlignment="0" applyProtection="0">
      <x:alignment vertical="center"/>
    </x:xf>
    <x:xf numFmtId="0" fontId="31" fillId="36" borderId="0" applyNumberFormat="0" applyBorder="0" applyAlignment="0" applyProtection="0">
      <x:alignment vertical="center"/>
    </x:xf>
    <x:xf numFmtId="0" fontId="31" fillId="37" borderId="0" applyNumberFormat="0" applyBorder="0" applyAlignment="0" applyProtection="0">
      <x:alignment vertical="center"/>
    </x:xf>
    <x:xf numFmtId="0" fontId="32" fillId="38" borderId="0" applyNumberFormat="0" applyBorder="0" applyAlignment="0" applyProtection="0">
      <x:alignment vertical="center"/>
    </x:xf>
    <x:xf numFmtId="0" fontId="32" fillId="39" borderId="0" applyNumberFormat="0" applyBorder="0" applyAlignment="0" applyProtection="0">
      <x:alignment vertical="center"/>
    </x:xf>
    <x:xf numFmtId="0" fontId="31" fillId="40" borderId="0" applyNumberFormat="0" applyBorder="0" applyAlignment="0" applyProtection="0">
      <x:alignment vertical="center"/>
    </x:xf>
  </x:cellStyleXfs>
  <x:cellXfs count="75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vertical="top" wrapText="1"/>
    </x:xf>
    <x:xf numFmtId="0" fontId="3" fillId="3" borderId="1" xfId="0" applyFont="1" applyFill="1" applyBorder="1" applyAlignment="1">
      <x:alignment horizontal="center" vertical="center"/>
    </x:xf>
    <x:xf numFmtId="176" fontId="2" fillId="0" borderId="1" xfId="0" applyNumberFormat="1" applyFont="1" applyBorder="1" applyAlignment="1">
      <x:alignment horizontal="center" vertical="center"/>
    </x:xf>
    <x:xf numFmtId="0" fontId="4" fillId="0" borderId="1" xfId="0" applyFont="1" applyBorder="1" applyAlignment="1">
      <x:alignment vertical="top" wrapText="1"/>
    </x:xf>
    <x:xf numFmtId="0" fontId="5" fillId="4" borderId="1" xfId="0" applyFont="1" applyFill="1" applyBorder="1" applyAlignment="1">
      <x:alignment horizontal="center" vertical="center"/>
    </x:xf>
    <x:xf numFmtId="0" fontId="6" fillId="5" borderId="1" xfId="0" applyFont="1" applyFill="1" applyBorder="1" applyAlignment="1">
      <x:alignment horizontal="center" vertical="center"/>
    </x:xf>
    <x:xf numFmtId="0" fontId="7" fillId="4" borderId="1" xfId="0" applyFont="1" applyFill="1" applyBorder="1" applyAlignment="1">
      <x:alignment vertical="top" wrapText="1"/>
    </x:xf>
    <x:xf numFmtId="0" fontId="8" fillId="6" borderId="1" xfId="0" applyFont="1" applyFill="1" applyBorder="1" applyAlignment="1">
      <x:alignment horizontal="center" vertical="center"/>
    </x:xf>
    <x:xf numFmtId="0" fontId="9" fillId="7" borderId="0" xfId="0" applyFont="1" applyFill="1" applyAlignment="1">
      <x:alignment horizontal="left" vertical="center"/>
    </x:xf>
    <x:xf numFmtId="0" fontId="10" fillId="7" borderId="0" xfId="0" applyFont="1" applyFill="1" applyAlignment="1">
      <x:alignment horizontal="left" vertical="center"/>
    </x:xf>
    <x:xf numFmtId="0" fontId="11" fillId="8" borderId="1" xfId="0" applyFont="1" applyFill="1" applyBorder="1" applyAlignment="1">
      <x:alignment horizontal="center"/>
    </x:xf>
    <x:xf numFmtId="0" fontId="12" fillId="9" borderId="1" xfId="0" applyFont="1" applyFill="1" applyBorder="1" applyAlignment="1">
      <x:alignment horizontal="center"/>
    </x:xf>
    <x:xf numFmtId="0" fontId="13" fillId="2" borderId="1" xfId="0" applyFont="1" applyFill="1" applyBorder="1" applyAlignment="1">
      <x:alignment horizontal="left" vertical="center"/>
    </x:xf>
    <x:xf numFmtId="0" fontId="2" fillId="3" borderId="1" xfId="0" applyFont="1" applyFill="1" applyBorder="1" applyAlignment="1">
      <x:alignment vertical="center" wrapText="1"/>
    </x:xf>
    <x:xf numFmtId="0" fontId="34" fillId="2" borderId="1" xfId="0" applyNumberFormat="1" applyFont="1" applyFill="1" applyBorder="1" applyAlignment="1">
      <x:alignment horizontal="center" vertical="center" wrapText="1"/>
    </x:xf>
    <x:xf numFmtId="0" fontId="35" fillId="0" borderId="0" xfId="0" applyNumberFormat="1" applyFont="1" applyFill="1" applyBorder="1"/>
    <x:xf numFmtId="0" fontId="35" fillId="0" borderId="1" xfId="0" applyNumberFormat="1" applyFont="1" applyFill="1" applyBorder="1" applyAlignment="1">
      <x:alignment horizontal="center" vertical="center" wrapText="1"/>
    </x:xf>
    <x:xf numFmtId="0" fontId="35" fillId="0" borderId="1" xfId="0" applyNumberFormat="1" applyFont="1" applyFill="1" applyBorder="1" applyAlignment="1">
      <x:alignment vertical="top" wrapText="1"/>
    </x:xf>
    <x:xf numFmtId="0" fontId="34" fillId="3" borderId="1" xfId="0" applyNumberFormat="1" applyFont="1" applyFill="1" applyBorder="1" applyAlignment="1">
      <x:alignment horizontal="center" vertical="center"/>
    </x:xf>
    <x:xf numFmtId="176" fontId="35" fillId="0" borderId="1" xfId="0" applyNumberFormat="1" applyFont="1" applyFill="1" applyBorder="1" applyAlignment="1">
      <x:alignment horizontal="center" vertical="center"/>
    </x:xf>
    <x:xf numFmtId="0" fontId="35" fillId="4" borderId="1" xfId="0" applyNumberFormat="1" applyFont="1" applyFill="1" applyBorder="1" applyAlignment="1">
      <x:alignment vertical="top" wrapText="1"/>
    </x:xf>
    <x:xf numFmtId="0" fontId="34" fillId="4" borderId="1" xfId="0" applyNumberFormat="1" applyFont="1" applyFill="1" applyBorder="1" applyAlignment="1">
      <x:alignment horizontal="center" vertical="center"/>
    </x:xf>
    <x:xf numFmtId="0" fontId="34" fillId="5" borderId="1" xfId="0" applyNumberFormat="1" applyFont="1" applyFill="1" applyBorder="1" applyAlignment="1">
      <x:alignment horizontal="center" vertical="center"/>
    </x:xf>
    <x:xf numFmtId="0" fontId="34" fillId="6" borderId="1" xfId="0" applyNumberFormat="1" applyFont="1" applyFill="1" applyBorder="1" applyAlignment="1">
      <x:alignment horizontal="center" vertical="center"/>
    </x:xf>
    <x:xf numFmtId="0" fontId="35" fillId="0" borderId="0" xfId="0" applyNumberFormat="1" applyFont="1" applyFill="1" applyBorder="1" applyAlignment="1">
      <x:alignment wrapText="1"/>
    </x:xf>
    <x:xf numFmtId="0" fontId="34" fillId="3" borderId="1" xfId="0" applyNumberFormat="1" applyFont="1" applyFill="1" applyBorder="1" applyAlignment="1">
      <x:alignment horizontal="center" vertical="center" wrapText="1"/>
    </x:xf>
    <x:xf numFmtId="176" fontId="35" fillId="0" borderId="1" xfId="0" applyNumberFormat="1" applyFont="1" applyFill="1" applyBorder="1" applyAlignment="1">
      <x:alignment horizontal="center" vertical="center" wrapText="1"/>
    </x:xf>
    <x:xf numFmtId="0" fontId="34" fillId="4" borderId="1" xfId="0" applyNumberFormat="1" applyFont="1" applyFill="1" applyBorder="1" applyAlignment="1">
      <x:alignment horizontal="center" vertical="center" wrapText="1"/>
    </x:xf>
    <x:xf numFmtId="0" fontId="34" fillId="5" borderId="1" xfId="0" applyNumberFormat="1" applyFont="1" applyFill="1" applyBorder="1" applyAlignment="1">
      <x:alignment horizontal="center" vertical="center" wrapText="1"/>
    </x:xf>
    <x:xf numFmtId="0" fontId="34" fillId="6" borderId="1" xfId="0" applyNumberFormat="1" applyFont="1" applyFill="1" applyBorder="1" applyAlignment="1">
      <x:alignment horizontal="center" vertical="center" wrapText="1"/>
    </x:xf>
    <x:xf numFmtId="0" fontId="34" fillId="2" borderId="1" xfId="0" applyNumberFormat="1" applyFont="1" applyFill="1" applyBorder="1" applyAlignment="1">
      <x:alignment horizontal="center" vertical="top" wrapText="1"/>
    </x:xf>
    <x:xf numFmtId="0" fontId="35" fillId="0" borderId="0" xfId="0" applyNumberFormat="1" applyFont="1" applyFill="1" applyBorder="1" applyAlignment="1">
      <x:alignment vertical="top" wrapText="1"/>
    </x:xf>
    <x:xf numFmtId="0" fontId="35" fillId="0" borderId="1" xfId="0" applyNumberFormat="1" applyFont="1" applyFill="1" applyBorder="1" applyAlignment="1">
      <x:alignment horizontal="center" vertical="top" wrapText="1"/>
    </x:xf>
    <x:xf numFmtId="0" fontId="34" fillId="3" borderId="1" xfId="0" applyNumberFormat="1" applyFont="1" applyFill="1" applyBorder="1" applyAlignment="1">
      <x:alignment horizontal="center" vertical="top" wrapText="1"/>
    </x:xf>
    <x:xf numFmtId="176" fontId="35" fillId="0" borderId="1" xfId="0" applyNumberFormat="1" applyFont="1" applyFill="1" applyBorder="1" applyAlignment="1">
      <x:alignment horizontal="center" vertical="top" wrapText="1"/>
    </x:xf>
    <x:xf numFmtId="0" fontId="34" fillId="4" borderId="1" xfId="0" applyNumberFormat="1" applyFont="1" applyFill="1" applyBorder="1" applyAlignment="1">
      <x:alignment horizontal="center" vertical="top" wrapText="1"/>
    </x:xf>
    <x:xf numFmtId="0" fontId="34" fillId="5" borderId="1" xfId="0" applyNumberFormat="1" applyFont="1" applyFill="1" applyBorder="1" applyAlignment="1">
      <x:alignment horizontal="center" vertical="top" wrapText="1"/>
    </x:xf>
    <x:xf numFmtId="0" fontId="34" fillId="6" borderId="1" xfId="0" applyNumberFormat="1" applyFont="1" applyFill="1" applyBorder="1" applyAlignment="1">
      <x:alignment horizontal="center" vertical="top" wrapText="1"/>
    </x:xf>
    <x:xf numFmtId="0" fontId="34" fillId="41" borderId="1" xfId="0" applyNumberFormat="1" applyFont="1" applyFill="1" applyBorder="1" applyAlignment="1">
      <x:alignment horizontal="center" vertical="top" wrapText="1"/>
    </x:xf>
    <x:xf numFmtId="0" fontId="35" fillId="41" borderId="0" xfId="0" applyNumberFormat="1" applyFont="1" applyFill="1" applyBorder="1" applyAlignment="1">
      <x:alignment vertical="top" wrapText="1"/>
    </x:xf>
    <x:xf numFmtId="0" fontId="1" fillId="41" borderId="1" xfId="0" applyNumberFormat="1" applyFont="1" applyFill="1" applyBorder="1" applyAlignment="1">
      <x:alignment horizontal="center" vertical="top" wrapText="1"/>
    </x:xf>
    <x:xf numFmtId="0" fontId="1" fillId="41" borderId="0" xfId="0" applyNumberFormat="1" applyFont="1" applyFill="1" applyBorder="1" applyAlignment="1">
      <x:alignment vertical="top" wrapText="1"/>
    </x:xf>
    <x:xf numFmtId="0" fontId="1" fillId="41" borderId="0" xfId="0" applyNumberFormat="1" applyFont="1" applyFill="1" applyBorder="1" applyAlignment="1">
      <x:alignment horizontal="center" vertical="top" wrapText="1"/>
    </x:xf>
    <x:xf numFmtId="0" fontId="1" fillId="41" borderId="1" xfId="0" applyNumberFormat="1" applyFont="1" applyFill="1" applyBorder="1" applyAlignment="1">
      <x:alignment horizontal="center" vertical="center" wrapText="1"/>
    </x:xf>
    <x:xf numFmtId="0" fontId="1" fillId="41" borderId="0" xfId="0" applyNumberFormat="1" applyFont="1" applyFill="1" applyBorder="1" applyAlignment="1">
      <x:alignment horizontal="center" vertical="center" wrapText="1"/>
    </x:xf>
    <x:xf numFmtId="200" fontId="35" fillId="0" borderId="1" xfId="0" applyNumberFormat="1" applyFont="1" applyFill="1" applyBorder="1" applyAlignment="1">
      <x:alignment horizontal="center" vertical="top" wrapText="1"/>
    </x:xf>
    <x:xf numFmtId="201" fontId="35" fillId="0" borderId="1" xfId="0" applyNumberFormat="1" applyFont="1" applyFill="1" applyBorder="1" applyAlignment="1">
      <x:alignment horizontal="center" vertical="top" wrapText="1"/>
    </x:xf>
    <x:xf numFmtId="0" fontId="34" fillId="42" borderId="1" xfId="0" applyNumberFormat="1" applyFont="1" applyFill="1" applyBorder="1" applyAlignment="1">
      <x:alignment horizontal="center" vertical="top" wrapText="1"/>
    </x:xf>
    <x:xf numFmtId="0" fontId="35" fillId="43" borderId="0" xfId="0" applyNumberFormat="1" applyFont="1" applyFill="1" applyBorder="1" applyAlignment="1">
      <x:alignment vertical="top" wrapText="1"/>
    </x:xf>
    <x:xf numFmtId="201" fontId="12" fillId="9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horizontal="left" vertical="center" wrapText="1"/>
    </x:xf>
    <x:xf numFmtId="0" fontId="10" fillId="7" borderId="0" xfId="0" applyNumberFormat="1" applyFont="1" applyFill="1" applyBorder="1" applyAlignment="1">
      <x:alignment horizontal="left" vertical="center" wrapText="1"/>
    </x:xf>
    <x:xf numFmtId="0" fontId="11" fillId="8" borderId="1" xfId="0" applyNumberFormat="1" applyFont="1" applyFill="1" applyBorder="1" applyAlignment="1">
      <x:alignment horizontal="center" wrapText="1"/>
    </x:xf>
    <x:xf numFmtId="0" fontId="2" fillId="0" borderId="1" xfId="0" applyNumberFormat="1" applyFont="1" applyFill="1" applyBorder="1" applyAlignment="1">
      <x:alignment vertical="top" wrapText="1"/>
    </x:xf>
    <x:xf numFmtId="0" fontId="12" fillId="9" borderId="1" xfId="0" applyNumberFormat="1" applyFont="1" applyFill="1" applyBorder="1" applyAlignment="1">
      <x:alignment horizontal="center" wrapText="1"/>
    </x:xf>
    <x:xf numFmtId="201" fontId="12" fillId="9" borderId="1" xfId="0" applyNumberFormat="1" applyFont="1" applyFill="1" applyBorder="1" applyAlignment="1">
      <x:alignment horizontal="center" wrapText="1"/>
    </x:xf>
    <x:xf numFmtId="176" fontId="2" fillId="0" borderId="1" xfId="0" applyNumberFormat="1" applyFont="1" applyFill="1" applyBorder="1" applyAlignment="1">
      <x:alignment horizontal="center" vertical="center" wrapText="1"/>
    </x:xf>
    <x:xf numFmtId="201" fontId="36" fillId="9" borderId="1" xfId="0" applyNumberFormat="1" applyFont="1" applyFill="1" applyBorder="1" applyAlignment="1">
      <x:alignment horizontal="center" wrapText="1"/>
    </x:xf>
    <x:xf numFmtId="176" fontId="37" fillId="0" borderId="1" xfId="0" applyNumberFormat="1" applyFont="1" applyFill="1" applyBorder="1" applyAlignment="1">
      <x:alignment horizontal="center" vertical="center" wrapText="1"/>
    </x:xf>
    <x:xf numFmtId="200" fontId="37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2" fillId="0" borderId="1" xfId="0" applyNumberFormat="1" applyFont="1" applyFill="1" applyBorder="1" applyAlignment="1">
      <x:alignment horizontal="center" vertical="center" wrapText="1"/>
    </x:xf>
    <x:xf numFmtId="0" fontId="7" fillId="4" borderId="1" xfId="0" applyNumberFormat="1" applyFont="1" applyFill="1" applyBorder="1" applyAlignment="1">
      <x:alignment vertical="top" wrapText="1"/>
    </x:xf>
    <x:xf numFmtId="0" fontId="38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0" fontId="35" fillId="43" borderId="0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4">
    <x:dxf>
      <x:fill>
        <x:patternFill patternType="solid">
          <x:bgColor rgb="FFFFF1CC"/>
        </x:patternFill>
      </x:fill>
    </x:dxf>
    <x:dxf>
      <x:fill>
        <x:patternFill patternType="solid">
          <x:bgColor rgb="FFFCE8E6"/>
        </x:patternFill>
      </x:fill>
    </x:dxf>
    <x:dxf>
      <x:fill>
        <x:patternFill patternType="solid">
          <x:bgColor rgb="FFE8F2F7"/>
        </x:patternFill>
      </x:fill>
    </x:dxf>
    <x:dxf>
      <x:fill>
        <x:patternFill patternType="solid">
          <x:bgColor rgb="FFE8F2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4cc8f7e5684676" /><Relationship Type="http://schemas.openxmlformats.org/officeDocument/2006/relationships/theme" Target="/xl/theme/theme1.xml" Id="Rcc40f29ec39d4188" /><Relationship Type="http://schemas.openxmlformats.org/officeDocument/2006/relationships/sharedStrings" Target="/xl/sharedStrings.xml" Id="Re79026265b4b4423" /><Relationship Type="http://schemas.openxmlformats.org/officeDocument/2006/relationships/worksheet" Target="/xl/worksheets/sheet1.xml" Id="Rabd67e95a3984495" /><Relationship Type="http://schemas.openxmlformats.org/officeDocument/2006/relationships/worksheet" Target="/xl/worksheets/sheet2.xml" Id="Ra5476826576344cd" /><Relationship Type="http://schemas.openxmlformats.org/officeDocument/2006/relationships/worksheet" Target="/xl/worksheets/sheet3.xml" Id="R7ce655ae10bd4ced" /><Relationship Type="http://schemas.openxmlformats.org/officeDocument/2006/relationships/worksheet" Target="/xl/worksheets/sheet4.xml" Id="Rca3ac4d6d5284071" /><Relationship Type="http://schemas.openxmlformats.org/officeDocument/2006/relationships/worksheet" Target="/xl/worksheets/sheet5.xml" Id="R8826ae6d165c4660" /><Relationship Type="http://schemas.openxmlformats.org/officeDocument/2006/relationships/worksheet" Target="/xl/worksheets/sheet6.xml" Id="Rc3d4df150361477a" /><Relationship Type="http://schemas.openxmlformats.org/officeDocument/2006/relationships/worksheet" Target="/xl/worksheets/sheet7.xml" Id="R9605f6ba151b44a7" /></Relationships>
</file>

<file path=xl/tables/table1.xml><?xml version="1.0" encoding="utf-8"?>
<x:table xmlns:x="http://schemas.openxmlformats.org/spreadsheetml/2006/main" id="1" name="FunctionSchedule" displayName="FunctionSchedule" ref="A1:W91" headerRowCount="1" totalsRowCount="0" totalsRowShown="0">
  <x:autoFilter ref="A1:W91"/>
  <x:tableColumns count="23">
    <x:tableColumn id="1" name="功能ID"/>
    <x:tableColumn id="2" name="业务模块"/>
    <x:tableColumn id="3" name="需求功能"/>
    <x:tableColumn id="4" name="实现判断（非验收）"/>
    <x:tableColumn id="5" name="现状记录及本次核查"/>
    <x:tableColumn id="6" name="还需完成什么"/>
    <x:tableColumn id="7" name="优先级"/>
    <x:tableColumn id="8" name="处理方式"/>
    <x:tableColumn id="9" name="原拟迭代/历史安排"/>
    <x:tableColumn id="10" name="原拟开始（未确认）"/>
    <x:tableColumn id="11" name="原拟完成（未确认）"/>
    <x:tableColumn id="12" name="原粗估人日（未确认）"/>
    <x:tableColumn id="13" name="负责人角色"/>
    <x:tableColumn id="14" name="前置条件/外部输入"/>
    <x:tableColumn id="15" name="建议验收场景"/>
    <x:tableColumn id="16" name="原文编号/设计章节"/>
    <x:tableColumn id="17" name="实际负责人"/>
    <x:tableColumn id="18" name="实际完成日期"/>
    <x:tableColumn id="19" name="修订及跟进说明"/>
    <x:tableColumn id="20" name="需求性质"/>
    <x:tableColumn id="21" name="证据类型"/>
    <x:tableColumn id="22" name="端到端验收"/>
    <x:tableColumn id="23" name="排期确认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IterationPlan" displayName="IterationPlan" ref="A1:I22" headerRowCount="1" totalsRowCount="0" totalsRowShown="0">
  <x:autoFilter ref="A1:I22"/>
  <x:tableColumns count="9">
    <x:tableColumn id="1" name="迭代"/>
    <x:tableColumn id="2" name="阶段主题"/>
    <x:tableColumn id="3" name="原拟开始（未确认）"/>
    <x:tableColumn id="4" name="原拟结束（未确认）"/>
    <x:tableColumn id="5" name="原拟功能范围（修订名称）"/>
    <x:tableColumn id="6" name="功能数"/>
    <x:tableColumn id="7" name="原估人日（待重估）"/>
    <x:tableColumn id="8" name="修订后门槛及排期风险"/>
    <x:tableColumn id="9" name="负责人角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ExternalInputs" displayName="ExternalInputs" ref="A1:H12" headerRowCount="1" totalsRowCount="0" totalsRowShown="0">
  <x:autoFilter ref="A1:H12"/>
  <x:tableColumns count="8">
    <x:tableColumn id="1" name="准备项"/>
    <x:tableColumn id="2" name="需要提供的内容"/>
    <x:tableColumn id="3" name="原拟最晚时间（未确认）"/>
    <x:tableColumn id="4" name="影响功能"/>
    <x:tableColumn id="5" name="未按时提供的影响"/>
    <x:tableColumn id="6" name="责任方"/>
    <x:tableColumn id="7" name="准备状态（原表）"/>
    <x:tableColumn id="8" name="依赖校正与确认事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orityActions" displayName="PriorityActions" ref="A1:J79" headerRowCount="1" totalsRowCount="0" totalsRowShown="0">
  <x:autoFilter ref="A1:J79"/>
  <x:tableColumns count="10">
    <x:tableColumn id="1" name="顺序"/>
    <x:tableColumn id="2" name="功能ID"/>
    <x:tableColumn id="3" name="业务模块"/>
    <x:tableColumn id="4" name="需求功能"/>
    <x:tableColumn id="5" name="实现判断（非验收）"/>
    <x:tableColumn id="6" name="优先级"/>
    <x:tableColumn id="7" name="原拟迭代"/>
    <x:tableColumn id="8" name="原拟日期（未确认）"/>
    <x:tableColumn id="9" name="修订后下一步"/>
    <x:tableColumn id="10" name="建议验收场景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FunctionEvidence" displayName="FunctionEvidence" ref="A4:K94" headerRowCount="1" totalsRowCount="0" totalsRowShown="0">
  <x:autoFilter ref="A4:K94"/>
  <x:tableColumns count="11">
    <x:tableColumn id="1" name="功能ID"/>
    <x:tableColumn id="2" name="需求性质"/>
    <x:tableColumn id="3" name="真实编号/章节"/>
    <x:tableColumn id="4" name="原文摘录（非改写）"/>
    <x:tableColumn id="5" name="代码/历史证据定位"/>
    <x:tableColumn id="6" name="证据能证明什么"/>
    <x:tableColumn id="7" name="不能证明什么/剩余风险"/>
    <x:tableColumn id="8" name="建议验证与留证"/>
    <x:tableColumn id="9" name="原表状态"/>
    <x:tableColumn id="10" name="修订理由"/>
    <x:tableColumn id="11" name="排期待确认事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RequirementScope" displayName="RequirementScope" ref="A4:H151" headerRowCount="1" totalsRowCount="0" totalsRowShown="0">
  <x:autoFilter ref="A4:H151"/>
  <x:tableColumns count="8">
    <x:tableColumn id="1" name="原文编号/章节"/>
    <x:tableColumn id="2" name="原文级别"/>
    <x:tableColumn id="3" name="原文位置"/>
    <x:tableColumn id="4" name="原文内容"/>
    <x:tableColumn id="5" name="关联功能ID"/>
    <x:tableColumn id="6" name="覆盖范围说明"/>
    <x:tableColumn id="7" name="后续处理"/>
    <x:tableColumn id="8" name="验收结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e0d3a5bd42c4f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ce6645382e4c4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a74657b09041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96d2f78bbc542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0b4f2deb0924c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aca5da3d9141f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9" defaultRowHeight="14"/>
  <x:cols>
    <x:col min="1" max="1" width="24.709091186523438" customWidth="1"/>
    <x:col min="2" max="5" width="18.709091186523438" customWidth="1"/>
    <x:col min="6" max="8" width="28.709091186523438" customWidth="1"/>
  </x:cols>
  <x:sheetData>
    <x:row r="1" ht="36" customHeight="1">
      <x:c r="A1" s="54" t="str">
        <x:v>Onward 业务功能对照与实施排期（修订讨论稿）</x:v>
      </x:c>
      <x:c r="B1" s="54"/>
      <x:c r="C1" s="54"/>
      <x:c r="D1" s="54"/>
      <x:c r="E1" s="54"/>
      <x:c r="F1" s="54"/>
      <x:c r="G1" s="54"/>
      <x:c r="H1" s="54"/>
    </x:row>
    <x:row r="2" ht="30" customHeight="1">
      <x:c r="A2" s="55" t="str">
        <x:v>需求基线：v0.1.0；原表：2026-09-07；核查：2026-09-08。90 项为功能拆分，非 90 条独立原文需求。</x:v>
      </x:c>
      <x:c r="B2" s="55"/>
      <x:c r="C2" s="55"/>
      <x:c r="D2" s="55"/>
      <x:c r="E2" s="55"/>
      <x:c r="F2" s="55"/>
      <x:c r="G2" s="55"/>
      <x:c r="H2" s="55"/>
    </x:row>
    <x:row r="4" ht="30" customHeight="1">
      <x:c r="A4" s="56" t="str">
        <x:v>功能拆分项</x:v>
      </x:c>
      <x:c r="B4" s="57"/>
      <x:c r="C4" s="56" t="str">
        <x:v>验收通过项</x:v>
      </x:c>
      <x:c r="D4" s="57"/>
      <x:c r="E4" s="56" t="str">
        <x:v>部分完成判断</x:v>
      </x:c>
      <x:c r="F4" s="57"/>
      <x:c r="G4" s="56" t="str">
        <x:v>待验证/复验</x:v>
      </x:c>
      <x:c r="H4" s="57"/>
    </x:row>
    <x:row r="5" ht="30" customHeight="1">
      <x:c r="A5" s="58" t="n">
        <x:f>COUNTA('功能完成排期'!A2:A91)</x:f>
        <x:v>90</x:v>
      </x:c>
      <x:c r="B5" s="57"/>
      <x:c r="C5" s="58" t="n">
        <x:f>COUNTIFS('功能完成排期'!V2:V91,"验收通过")</x:f>
        <x:v>0</x:v>
      </x:c>
      <x:c r="D5" s="57"/>
      <x:c r="E5" s="58" t="n">
        <x:f>COUNTIFS('功能完成排期'!D2:D91,"部分完成")</x:f>
        <x:v>47</x:v>
      </x:c>
      <x:c r="F5" s="57"/>
      <x:c r="G5" s="58" t="n">
        <x:f>COUNTIFS('功能完成排期'!D2:D91,"待验证")+COUNTIFS('功能完成排期'!D2:D91,"待复验")</x:f>
        <x:v>15</x:v>
      </x:c>
      <x:c r="H5" s="57"/>
    </x:row>
    <x:row r="6" ht="30" customHeight="1">
      <x:c r="A6" s="56" t="str">
        <x:v>待完成判断</x:v>
      </x:c>
      <x:c r="B6" s="57"/>
      <x:c r="C6" s="56" t="str">
        <x:v>原拟双周迭代数</x:v>
      </x:c>
      <x:c r="D6" s="57"/>
      <x:c r="E6" s="56" t="str">
        <x:v>原拟完成（未确认）</x:v>
      </x:c>
      <x:c r="F6" s="57"/>
      <x:c r="G6" s="56" t="str">
        <x:v>原粗估人日</x:v>
      </x:c>
      <x:c r="H6" s="57"/>
    </x:row>
    <x:row r="7" ht="30" customHeight="1">
      <x:c r="A7" s="58" t="n">
        <x:f>COUNTIFS('功能完成排期'!D2:D91,"待完成")</x:f>
        <x:v>28</x:v>
      </x:c>
      <x:c r="B7" s="57"/>
      <x:c r="C7" s="61" t="n">
        <x:v>21</x:v>
      </x:c>
      <x:c r="D7" s="57"/>
      <x:c r="E7" s="63">
        <x:v>46570</x:v>
      </x:c>
      <x:c r="F7" s="57"/>
      <x:c r="G7" s="58" t="n">
        <x:f>SUM('功能完成排期'!L2:L91)</x:f>
        <x:v>889</x:v>
      </x:c>
      <x:c r="H7" s="57"/>
    </x:row>
    <x:row r="8" ht="15.5">
      <x:c r="A8" s="15" t="str">
        <x:v>修订口径与排期待确认事项</x:v>
      </x:c>
      <x:c r="B8" s="15"/>
      <x:c r="C8" s="15"/>
      <x:c r="D8" s="15"/>
      <x:c r="E8" s="15"/>
      <x:c r="F8" s="15"/>
      <x:c r="G8" s="15"/>
      <x:c r="H8" s="15"/>
    </x:row>
    <x:row r="9" ht="46" customHeight="1">
      <x:c r="A9" s="53" t="str">
        <x:v>范围：保留原 90 项及历史估算。新增原文覆盖记录；GLPI、Chatwoot、Keycloak、项目独立部署等架构要求尚未按原文验收。</x:v>
      </x:c>
      <x:c r="B9" s="53"/>
      <x:c r="C9" s="53"/>
      <x:c r="D9" s="53"/>
      <x:c r="E9" s="53"/>
      <x:c r="F9" s="53"/>
      <x:c r="G9" s="53"/>
      <x:c r="H9" s="53"/>
    </x:row>
    <x:row r="10" ht="46" customHeight="1">
      <x:c r="A10" s="53" t="str">
        <x:v>证据：原文映射已复核；部分功能完成静态核查或入口定位，未重跑 90 项运行验收。测试源码不等于执行通过，原 12 项“已完成”现列待复验。</x:v>
      </x:c>
      <x:c r="B10" s="53"/>
      <x:c r="C10" s="53"/>
      <x:c r="D10" s="53"/>
      <x:c r="E10" s="53"/>
      <x:c r="F10" s="53"/>
      <x:c r="G10" s="53"/>
      <x:c r="H10" s="53"/>
    </x:row>
    <x:row r="11" ht="46" customHeight="1">
      <x:c r="A11" s="53" t="str">
        <x:v>排期：21 个双周迭代和 889 人日来自原表，尚未获团队确认。已发现缺口不能只按 3 人日验证关闭；修复、复验与架构工作需补估。</x:v>
      </x:c>
      <x:c r="B11" s="53"/>
      <x:c r="C11" s="53"/>
      <x:c r="D11" s="53"/>
      <x:c r="E11" s="53"/>
      <x:c r="F11" s="53"/>
      <x:c r="G11" s="53"/>
      <x:c r="H11" s="53"/>
    </x:row>
    <x:row r="12" ht="46" customHeight="1">
      <x:c r="A12" s="53" t="str">
        <x:v>团队：原表假设产品/项目负责人 1、后端 2、前端 2、QA 1，设计/运维按需。原文第 15 章另建议架构 1、后端 2、SRE 1、QA 1、前端/报表 1，产品/安全兼职，路线图为 20 周。</x:v>
      </x:c>
      <x:c r="B12" s="53"/>
      <x:c r="C12" s="53"/>
      <x:c r="D12" s="53"/>
      <x:c r="E12" s="53"/>
      <x:c r="F12" s="53"/>
      <x:c r="G12" s="53"/>
      <x:c r="H12" s="53"/>
    </x:row>
    <x:row r="13" ht="46" customHeight="1">
      <x:c r="A13" s="53" t="str">
        <x:v>冻结前确认：采用原架构还是批准替代、项目范围、真实人员、任务拆解/依赖、节假日、外部资源及验收负责人。原日期保留供讨论，不是交付承诺。</x:v>
      </x:c>
      <x:c r="B13" s="53"/>
      <x:c r="C13" s="53"/>
      <x:c r="D13" s="53"/>
      <x:c r="E13" s="53"/>
      <x:c r="F13" s="53"/>
      <x:c r="G13" s="53"/>
      <x:c r="H13" s="53"/>
    </x:row>
    <x:row r="15" ht="15.5">
      <x:c r="A15" s="15" t="str">
        <x:v>原拟里程碑（全部待团队确认）</x:v>
      </x:c>
      <x:c r="B15" s="15"/>
      <x:c r="C15" s="15"/>
      <x:c r="D15" s="15"/>
      <x:c r="E15" s="15"/>
      <x:c r="F15" s="15"/>
      <x:c r="G15" s="15"/>
      <x:c r="H15" s="15"/>
    </x:row>
    <x:row r="16">
      <x:c r="A16" s="1" t="s">
        <x:v>0</x:v>
      </x:c>
      <x:c r="B16" s="1" t="str">
        <x:v>原拟日期</x:v>
      </x:c>
      <x:c r="C16" s="1" t="str">
        <x:v>拟交付结果（未验收）</x:v>
      </x:c>
    </x:row>
    <x:row r="17" ht="24" customHeight="1">
      <x:c r="A17" s="2" t="s">
        <x:v>1</x:v>
      </x:c>
      <x:c r="B17" s="5">
        <x:v>46290</x:v>
      </x:c>
      <x:c r="C17" s="3" t="s">
        <x:v>2</x:v>
      </x:c>
      <x:c r="D17" s="3"/>
      <x:c r="E17" s="3"/>
      <x:c r="F17" s="3"/>
      <x:c r="G17" s="3"/>
      <x:c r="H17" s="3"/>
    </x:row>
    <x:row r="18" ht="24" customHeight="1">
      <x:c r="A18" s="2" t="s">
        <x:v>3</x:v>
      </x:c>
      <x:c r="B18" s="5">
        <x:v>46360</x:v>
      </x:c>
      <x:c r="C18" s="3" t="s">
        <x:v>4</x:v>
      </x:c>
      <x:c r="D18" s="3"/>
      <x:c r="E18" s="3"/>
      <x:c r="F18" s="3"/>
      <x:c r="G18" s="3"/>
      <x:c r="H18" s="3"/>
    </x:row>
    <x:row r="19" ht="24" customHeight="1">
      <x:c r="A19" s="2" t="s">
        <x:v>5</x:v>
      </x:c>
      <x:c r="B19" s="5">
        <x:v>46430</x:v>
      </x:c>
      <x:c r="C19" s="3" t="s">
        <x:v>6</x:v>
      </x:c>
      <x:c r="D19" s="3"/>
      <x:c r="E19" s="3"/>
      <x:c r="F19" s="3"/>
      <x:c r="G19" s="3"/>
      <x:c r="H19" s="3"/>
    </x:row>
    <x:row r="20" ht="24" customHeight="1">
      <x:c r="A20" s="2" t="s">
        <x:v>7</x:v>
      </x:c>
      <x:c r="B20" s="5">
        <x:v>46486</x:v>
      </x:c>
      <x:c r="C20" s="3" t="s">
        <x:v>8</x:v>
      </x:c>
      <x:c r="D20" s="3"/>
      <x:c r="E20" s="3"/>
      <x:c r="F20" s="3"/>
      <x:c r="G20" s="3"/>
      <x:c r="H20" s="3"/>
    </x:row>
    <x:row r="21" ht="24" customHeight="1">
      <x:c r="A21" s="2" t="s">
        <x:v>9</x:v>
      </x:c>
      <x:c r="B21" s="5">
        <x:v>46556</x:v>
      </x:c>
      <x:c r="C21" s="3" t="s">
        <x:v>10</x:v>
      </x:c>
      <x:c r="D21" s="3"/>
      <x:c r="E21" s="3"/>
      <x:c r="F21" s="3"/>
      <x:c r="G21" s="3"/>
      <x:c r="H21" s="3"/>
    </x:row>
    <x:row r="22" ht="24" customHeight="1">
      <x:c r="A22" s="2" t="s">
        <x:v>11</x:v>
      </x:c>
      <x:c r="B22" s="5">
        <x:v>46570</x:v>
      </x:c>
      <x:c r="C22" s="3" t="s">
        <x:v>12</x:v>
      </x:c>
      <x:c r="D22" s="3"/>
      <x:c r="E22" s="3"/>
      <x:c r="F22" s="3"/>
      <x:c r="G22" s="3"/>
      <x:c r="H22" s="3"/>
    </x:row>
    <x:row r="25" ht="30" customHeight="1">
      <x:c r="A25" s="47" t="str">
        <x:v>待确认事项</x:v>
      </x:c>
      <x:c r="B25" s="47" t="str">
        <x:v>原文/原表依据</x:v>
      </x:c>
      <x:c r="C25" s="47" t="str">
        <x:v>当前结论</x:v>
      </x:c>
      <x:c r="D25" s="47" t="str">
        <x:v>确认负责人</x:v>
      </x:c>
      <x:c r="E25" s="47" t="str">
        <x:v>确认日期</x:v>
      </x:c>
    </x:row>
    <x:row r="26" ht="52" customHeight="1">
      <x:c r="A26" s="34" t="str">
        <x:v>总体架构</x:v>
      </x:c>
      <x:c r="B26" s="34" t="str">
        <x:v>原文第 1.2、1.3、5、6、12 章</x:v>
      </x:c>
      <x:c r="C26" s="34" t="str">
        <x:v>待决定：遵循原文组件和事实源，或先批准替代方案</x:v>
      </x:c>
      <x:c r="D26" s="51" t="str">
        <x:v>待指定</x:v>
      </x:c>
      <x:c r="E26" s="74"/>
    </x:row>
    <x:row r="27" ht="46" customHeight="1">
      <x:c r="A27" s="34" t="str">
        <x:v>真实团队与可用工时</x:v>
      </x:c>
      <x:c r="B27" s="34" t="str">
        <x:v>原文第 15.1 节与原表团队配置不同</x:v>
      </x:c>
      <x:c r="C27" s="34" t="str">
        <x:v>待确认每人投入、职责和并行容量</x:v>
      </x:c>
      <x:c r="D27" s="51" t="str">
        <x:v>待指定</x:v>
      </x:c>
      <x:c r="E27" s="74"/>
    </x:row>
    <x:row r="28" ht="52" customHeight="1">
      <x:c r="A28" s="34" t="str">
        <x:v>剩余估算</x:v>
      </x:c>
      <x:c r="B28" s="34" t="str">
        <x:v>原表 889 人日；S0 9 项各 3 人日</x:v>
      </x:c>
      <x:c r="C28" s="34" t="str">
        <x:v>需补已知缺口修复、12 项复验、未单列架构与最终回归估算</x:v>
      </x:c>
      <x:c r="D28" s="51" t="str">
        <x:v>待指定</x:v>
      </x:c>
      <x:c r="E28" s="74"/>
    </x:row>
    <x:row r="29" ht="52" customHeight="1">
      <x:c r="A29" s="34" t="str">
        <x:v>前置依赖</x:v>
      </x:c>
      <x:c r="B29" s="34" t="str">
        <x:v>外部准备项原日期晚于部分 S0 验证</x:v>
      </x:c>
      <x:c r="C29" s="34" t="str">
        <x:v>先确认 S0 测试身份源、SLA、Bot、专家和上传规则可用时间</x:v>
      </x:c>
      <x:c r="D29" s="51" t="str">
        <x:v>待指定</x:v>
      </x:c>
      <x:c r="E29" s="74"/>
    </x:row>
    <x:row r="30" ht="52" customHeight="1">
      <x:c r="A30" s="34" t="str">
        <x:v>计划批准</x:v>
      </x:c>
      <x:c r="B30" s="34" t="str">
        <x:v>原文 20 周路线图；原表 21 个双周迭代</x:v>
      </x:c>
      <x:c r="C30" s="34" t="str">
        <x:v>日期均未确认，完成拆解/容量和依赖检查后由团队批准</x:v>
      </x:c>
      <x:c r="D30" s="51" t="str">
        <x:v>待指定</x:v>
      </x:c>
      <x:c r="E30" s="74"/>
    </x:row>
    <x:row r="31" ht="52" customHeight="1">
      <x:c r="A31" s="34" t="str">
        <x:v>原表与原文定位</x:v>
      </x:c>
      <x:c r="B31" s="34" t="str">
        <x:v>原表：Onward_业务功能对照与实施排期_最终版_20260907.xlsx</x:v>
      </x:c>
      <x:c r="C31" s="34" t="str">
        <x:v>原 5 张表和 90 编号保留；新增两表记录逐项证据及原文范围</x:v>
      </x:c>
      <x:c r="D31" s="51" t="str">
        <x:v>不适用</x:v>
      </x:c>
      <x:c r="E31" s="74"/>
    </x:row>
    <x:row r="32" ht="66" customHeight="1">
      <x:c r="A32" s="34" t="str">
        <x:v>验证记录边界</x:v>
      </x:c>
      <x:c r="B32" s="34" t="str">
        <x:v>静态核查、代码入口和历史描述分开</x:v>
      </x:c>
      <x:c r="C32" s="34" t="str">
        <x:v>本次未运行 90 项验收；优先清单保留原 78 项，新增待复验 12 项在主表列示</x:v>
      </x:c>
      <x:c r="D32" s="51" t="str">
        <x:v>待指定</x:v>
      </x:c>
      <x:c r="E32" s="74"/>
    </x:row>
  </x:sheetData>
  <x:mergeCells>
    <x:mergeCell ref="A1:H1"/>
    <x:mergeCell ref="A2:H2"/>
    <x:mergeCell ref="A8:H8"/>
    <x:mergeCell ref="A9:H9"/>
    <x:mergeCell ref="A10:H10"/>
    <x:mergeCell ref="A11:H11"/>
    <x:mergeCell ref="A12:H12"/>
    <x:mergeCell ref="A13:H13"/>
    <x:mergeCell ref="A15:H15"/>
    <x:mergeCell ref="C17:H17"/>
    <x:mergeCell ref="C18:H18"/>
    <x:mergeCell ref="C19:H19"/>
    <x:mergeCell ref="C20:H20"/>
    <x:mergeCell ref="C21:H21"/>
    <x:mergeCell ref="C22:H22"/>
    <x:mergeCell ref="B4:B5"/>
    <x:mergeCell ref="B6:B7"/>
    <x:mergeCell ref="D4:D5"/>
    <x:mergeCell ref="D6:D7"/>
    <x:mergeCell ref="F4:F5"/>
    <x:mergeCell ref="F6:F7"/>
    <x:mergeCell ref="H4:H5"/>
    <x:mergeCell ref="H6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1" topLeftCell="E2" activePane="bottomRight" state="frozen"/>
    </x:sheetView>
  </x:sheetViews>
  <x:sheetFormatPr defaultColWidth="9" defaultRowHeight="14"/>
  <x:cols>
    <x:col min="1" max="1" width="13" hidden="0" customWidth="1"/>
    <x:col min="2" max="2" width="21" hidden="0" customWidth="1"/>
    <x:col min="3" max="3" width="34" hidden="0" customWidth="1"/>
    <x:col min="4" max="4" width="17" hidden="0" customWidth="1"/>
    <x:col min="5" max="5" width="56" hidden="0" customWidth="1"/>
    <x:col min="6" max="6" width="68" hidden="0" customWidth="1"/>
    <x:col min="7" max="7" width="12" hidden="0" customWidth="1"/>
    <x:col min="8" max="8" width="24" hidden="0" customWidth="1"/>
    <x:col min="9" max="9" width="23" hidden="0" customWidth="1"/>
    <x:col min="10" max="11" width="13.709091186523438" customWidth="1"/>
    <x:col min="12" max="12" width="18" hidden="0" customWidth="1"/>
    <x:col min="13" max="13" width="29" hidden="0" customWidth="1"/>
    <x:col min="14" max="14" width="42" hidden="0" customWidth="1"/>
    <x:col min="15" max="15" width="70" hidden="0" customWidth="1"/>
    <x:col min="16" max="16" width="34" hidden="0" customWidth="1"/>
    <x:col min="17" max="17" width="18" hidden="0" customWidth="1"/>
    <x:col min="18" max="18" width="22" hidden="0" customWidth="1"/>
    <x:col min="19" max="19" width="68" hidden="0" customWidth="1"/>
    <x:col min="10" max="10" width="22" hidden="0" customWidth="1"/>
    <x:col min="11" max="11" width="22" hidden="0" customWidth="1"/>
    <x:col min="20" max="20" width="29" hidden="0" customWidth="1"/>
    <x:col min="21" max="21" width="26" hidden="0" customWidth="1"/>
    <x:col min="22" max="22" width="25" hidden="0" customWidth="1"/>
    <x:col min="23" max="23" width="18" hidden="0" customWidth="1"/>
  </x:cols>
  <x:sheetData>
    <x:row r="1" ht="30" customHeight="1">
      <x:c r="A1" s="46" t="str">
        <x:v>功能ID</x:v>
      </x:c>
      <x:c r="B1" s="46" t="str">
        <x:v>业务模块</x:v>
      </x:c>
      <x:c r="C1" s="46" t="str">
        <x:v>需求功能</x:v>
      </x:c>
      <x:c r="D1" s="46" t="str">
        <x:v>实现判断（非验收）</x:v>
      </x:c>
      <x:c r="E1" s="46" t="str">
        <x:v>现状记录及本次核查</x:v>
      </x:c>
      <x:c r="F1" s="46" t="str">
        <x:v>还需完成什么</x:v>
      </x:c>
      <x:c r="G1" s="46" t="str">
        <x:v>优先级</x:v>
      </x:c>
      <x:c r="H1" s="46" t="str">
        <x:v>处理方式</x:v>
      </x:c>
      <x:c r="I1" s="46" t="str">
        <x:v>原拟迭代/历史安排</x:v>
      </x:c>
      <x:c r="J1" s="46" t="str">
        <x:v>原拟开始（未确认）</x:v>
      </x:c>
      <x:c r="K1" s="46" t="str">
        <x:v>原拟完成（未确认）</x:v>
      </x:c>
      <x:c r="L1" s="46" t="str">
        <x:v>原粗估人日（未确认）</x:v>
      </x:c>
      <x:c r="M1" s="46" t="str">
        <x:v>负责人角色</x:v>
      </x:c>
      <x:c r="N1" s="46" t="str">
        <x:v>前置条件/外部输入</x:v>
      </x:c>
      <x:c r="O1" s="46" t="str">
        <x:v>建议验收场景</x:v>
      </x:c>
      <x:c r="P1" s="46" t="str">
        <x:v>原文编号/设计章节</x:v>
      </x:c>
      <x:c r="Q1" s="46" t="str">
        <x:v>实际负责人</x:v>
      </x:c>
      <x:c r="R1" s="46" t="str">
        <x:v>实际完成日期</x:v>
      </x:c>
      <x:c r="S1" s="46" t="str">
        <x:v>修订及跟进说明</x:v>
      </x:c>
      <x:c r="T1" s="47" t="str">
        <x:v>需求性质</x:v>
      </x:c>
      <x:c r="U1" s="47" t="str">
        <x:v>证据类型</x:v>
      </x:c>
      <x:c r="V1" s="47" t="str">
        <x:v>端到端验收</x:v>
      </x:c>
      <x:c r="W1" s="47" t="str">
        <x:v>排期确认</x:v>
      </x:c>
    </x:row>
    <x:row r="2" ht="52" customHeight="1">
      <x:c r="A2" s="35" t="str">
        <x:v>FUN-008</x:v>
      </x:c>
      <x:c r="B2" s="20" t="str">
        <x:v>接待与工单</x:v>
      </x:c>
      <x:c r="C2" s="20" t="str">
        <x:v>电话接待人工建单与来源保留</x:v>
      </x:c>
      <x:c r="D2" s="50" t="str">
        <x:v>部分完成</x:v>
      </x:c>
      <x:c r="E2" s="20" t="str">
        <x:v>已核查人工建单接口；企业新建页固定提交 manual/enterprise。创建请求中未见独立 source_record_id。</x:v>
      </x:c>
      <x:c r="F2" s="20" t="str">
        <x:v>补电话渠道选择、原始受理记录标识及项目批准的必填上下文；来电人/号码如何保存须确认，不强行要求 PBX 通话编号。</x:v>
      </x:c>
      <x:c r="G2" s="35" t="str">
        <x:v>高</x:v>
      </x:c>
      <x:c r="H2" s="35" t="str">
        <x:v>补齐已知缺口后验收</x:v>
      </x:c>
      <x:c r="I2" s="35" t="str">
        <x:v>S0</x:v>
      </x:c>
      <x:c r="J2" s="48" t="n">
        <x:v>46279</x:v>
      </x:c>
      <x:c r="K2" s="48" t="n">
        <x:v>46290</x:v>
      </x:c>
      <x:c r="L2" s="49" t="n">
        <x:v>3</x:v>
      </x:c>
      <x:c r="M2" s="20" t="str">
        <x:v>后端A + 前端A + QA</x:v>
      </x:c>
      <x:c r="N2" s="20" t="str">
        <x:v>工单类型、优先级和责任人规则确认</x:v>
      </x:c>
      <x:c r="O2" s="20" t="str">
        <x:v>客服接听后人工建单；详情与接口保留电话渠道、可追溯的受理记录标识；缺少项目必填信息时明确标记。</x:v>
      </x:c>
      <x:c r="P2" s="20" t="str">
        <x:v>TKT-001；TKT-002；§2.3；§9.1</x:v>
      </x:c>
      <x:c r="Q2" s="23" t="str">
        <x:v>待分配</x:v>
      </x:c>
      <x:c r="R2" s="48"/>
      <x:c r="S2" s="23" t="str">
        <x:v>原文为 Manual Phone，不是来电自动建单。Asterisk CTI 属于 V1 后可选能力；源记录 ID 不必等同于电话平台通话编号。
原表状态：待验证。</x:v>
      </x:c>
      <x:c r="T2" s="34" t="str">
        <x:v>原文要求（功能拆分）</x:v>
      </x:c>
      <x:c r="U2" s="34" t="str">
        <x:v>静态代码核查</x:v>
      </x:c>
      <x:c r="V2" s="34" t="str">
        <x:v>未完成端到端验收</x:v>
      </x:c>
      <x:c r="W2" s="51" t="str">
        <x:v>未确认</x:v>
      </x:c>
    </x:row>
    <x:row r="3" ht="52" customHeight="1">
      <x:c r="A3" s="35" t="str">
        <x:v>FUN-031</x:v>
      </x:c>
      <x:c r="B3" s="20" t="str">
        <x:v>专家与服务目录</x:v>
      </x:c>
      <x:c r="C3" s="20" t="str">
        <x:v>专家交接与接收确认</x:v>
      </x:c>
      <x:c r="D3" s="50" t="str">
        <x:v>部分完成</x:v>
      </x:c>
      <x:c r="E3" s="20" t="str">
        <x:v>已核查供应商邀请、接受及处理接口；邀请参数主要是原因和访问范围，尚不能证明完整结构化专家交接。</x:v>
      </x:c>
      <x:c r="F3" s="20" t="str">
        <x:v>补问题描述、影响、已执行动作、证据、时间线、明确问题；补 Dependency ID、External Reference、接收确认和 OLA 关联。</x:v>
      </x:c>
      <x:c r="G3" s="35" t="str">
        <x:v>高</x:v>
      </x:c>
      <x:c r="H3" s="35" t="str">
        <x:v>补齐已知缺口后验收</x:v>
      </x:c>
      <x:c r="I3" s="35" t="str">
        <x:v>S0</x:v>
      </x:c>
      <x:c r="J3" s="48" t="n">
        <x:v>46279</x:v>
      </x:c>
      <x:c r="K3" s="48" t="n">
        <x:v>46290</x:v>
      </x:c>
      <x:c r="L3" s="49" t="n">
        <x:v>3</x:v>
      </x:c>
      <x:c r="M3" s="20" t="str">
        <x:v>后端B + 前端B + QA</x:v>
      </x:c>
      <x:c r="N3" s="20" t="str">
        <x:v>服务目录、专家联系人、合同及OLA资料</x:v>
      </x:c>
      <x:c r="O3" s="20" t="str">
        <x:v>专家接收六类结构化内容；内部依赖编号、外部引用、接收确认与跟进记录可追查，回交按配置条件验收。</x:v>
      </x:c>
      <x:c r="P3" s="20" t="str">
        <x:v>REG-004；§8.5；§9.2</x:v>
      </x:c>
      <x:c r="Q3" s="23" t="str">
        <x:v>待分配</x:v>
      </x:c>
      <x:c r="R3" s="48"/>
      <x:c r="S3" s="23" t="str">
        <x:v>原验收遗漏时间线；外部编号和接收确认来自第 8.5 节，不能只引用 REG-004。供应商协作只作为可复用基础。
原表状态：待验证。</x:v>
      </x:c>
      <x:c r="T3" s="34" t="str">
        <x:v>原文要求（功能拆分）</x:v>
      </x:c>
      <x:c r="U3" s="34" t="str">
        <x:v>静态代码核查</x:v>
      </x:c>
      <x:c r="V3" s="34" t="str">
        <x:v>未完成端到端验收</x:v>
      </x:c>
      <x:c r="W3" s="51" t="str">
        <x:v>未确认</x:v>
      </x:c>
    </x:row>
    <x:row r="4" ht="52" customHeight="1">
      <x:c r="A4" s="35" t="str">
        <x:v>FUN-037</x:v>
      </x:c>
      <x:c r="B4" s="20" t="str">
        <x:v>时限与提醒</x:v>
      </x:c>
      <x:c r="C4" s="20" t="str">
        <x:v>首响、解决目标及现有接单计时</x:v>
      </x:c>
      <x:c r="D4" s="50" t="str">
        <x:v>部分完成</x:v>
      </x:c>
      <x:c r="E4" s="20" t="str">
        <x:v>已核查 frt、assignment、resolution 三类扫描；assignment 以工程师 AcceptedAt 停止，不以分配时间停止。</x:v>
      </x:c>
      <x:c r="F4" s="20" t="str">
        <x:v>核对首响/解决边界、人工电话首响事件及日历接入；接单计时与原文 Acknowledgement 的含义须确认；六类目标与 FUN-043 联合验收。</x:v>
      </x:c>
      <x:c r="G4" s="35" t="str">
        <x:v>高</x:v>
      </x:c>
      <x:c r="H4" s="35" t="str">
        <x:v>补齐已知缺口后验收</x:v>
      </x:c>
      <x:c r="I4" s="35" t="str">
        <x:v>S0</x:v>
      </x:c>
      <x:c r="J4" s="48" t="n">
        <x:v>46279</x:v>
      </x:c>
      <x:c r="K4" s="48" t="n">
        <x:v>46290</x:v>
      </x:c>
      <x:c r="L4" s="49" t="n">
        <x:v>3</x:v>
      </x:c>
      <x:c r="M4" s="20" t="str">
        <x:v>后端A + 前端A + QA</x:v>
      </x:c>
      <x:c r="N4" s="20" t="str">
        <x:v>SLA目标、营业日历、节假日及暂停规则</x:v>
      </x:c>
      <x:c r="O4" s="20" t="str">
        <x:v>首响和解决独立计时/预警/报告；接单扩展按确认口径回归。不得以这三类测试代替 SLA-005 六类目标验收。</x:v>
      </x:c>
      <x:c r="P4" s="20" t="str">
        <x:v>SLA-005</x:v>
      </x:c>
      <x:c r="Q4" s="23" t="str">
        <x:v>待分配</x:v>
      </x:c>
      <x:c r="R4" s="48"/>
      <x:c r="S4" s="23" t="str">
        <x:v>SLA-005 是接收确认、首响、周期更新、升级、恢复、解决六类；原表“分配”与当前 AcceptedAt 语义均不准确。
原表状态：待验证。</x:v>
      </x:c>
      <x:c r="T4" s="34" t="str">
        <x:v>原文目标与系统接单扩展混合</x:v>
      </x:c>
      <x:c r="U4" s="34" t="str">
        <x:v>静态代码核查</x:v>
      </x:c>
      <x:c r="V4" s="34" t="str">
        <x:v>未完成端到端验收</x:v>
      </x:c>
      <x:c r="W4" s="51" t="str">
        <x:v>未确认</x:v>
      </x:c>
    </x:row>
    <x:row r="5" ht="52" customHeight="1">
      <x:c r="A5" s="35" t="str">
        <x:v>FUN-083</x:v>
      </x:c>
      <x:c r="B5" s="20" t="str">
        <x:v>数据与记录</x:v>
      </x:c>
      <x:c r="C5" s="20" t="str">
        <x:v>上传文件类型和大小限制</x:v>
      </x:c>
      <x:c r="D5" s="50" t="str">
        <x:v>待验证</x:v>
      </x:c>
      <x:c r="E5" s="20" t="str">
        <x:v>原表记录（运行未复核）：已有上传安全检查和专项测试代码</x:v>
      </x:c>
      <x:c r="F5" s="20" t="str">
        <x:v>枚举工单、会话、知识、FAQ 导入等入口；测试实际类型伪造、大小边界和压缩限制。类型拒绝与隔离验收同 FUN-084 联动。</x:v>
      </x:c>
      <x:c r="G5" s="35" t="str">
        <x:v>高</x:v>
      </x:c>
      <x:c r="H5" s="35" t="str">
        <x:v>先验证，失败再修复</x:v>
      </x:c>
      <x:c r="I5" s="35" t="str">
        <x:v>S0</x:v>
      </x:c>
      <x:c r="J5" s="48" t="n">
        <x:v>46279</x:v>
      </x:c>
      <x:c r="K5" s="48" t="n">
        <x:v>46290</x:v>
      </x:c>
      <x:c r="L5" s="49" t="n">
        <x:v>3</x:v>
      </x:c>
      <x:c r="M5" s="20" t="str">
        <x:v>后端A + 前端A + QA</x:v>
      </x:c>
      <x:c r="N5" s="20" t="str">
        <x:v>留存期限、Legal Hold政策和退出包范围</x:v>
      </x:c>
      <x:c r="O5" s="20" t="str">
        <x:v>所有入口按批准规则处理危险类型、大小边界和异常压缩；应隔离的附件不能只丢弃，隔离证据在 FUN-084 验证。</x:v>
      </x:c>
      <x:c r="P5" s="20" t="str">
        <x:v>TKT-007；SEC-003</x:v>
      </x:c>
      <x:c r="Q5" s="23" t="str">
        <x:v>待分配</x:v>
      </x:c>
      <x:c r="R5" s="48"/>
      <x:c r="S5" s="23" t="str">
        <x:v>公共上传检查不代表全部入口；TKT-007/SEC-003 还要求隔离，不能仅以拒绝文件判整条通过。
原表状态：待验证。</x:v>
      </x:c>
      <x:c r="T5" s="34" t="str">
        <x:v>原文要求（功能拆分）</x:v>
      </x:c>
      <x:c r="U5" s="34" t="str">
        <x:v>静态代码核查</x:v>
      </x:c>
      <x:c r="V5" s="34" t="str">
        <x:v>未完成端到端验收</x:v>
      </x:c>
      <x:c r="W5" s="51" t="str">
        <x:v>未确认</x:v>
      </x:c>
    </x:row>
    <x:row r="6" ht="52" customHeight="1">
      <x:c r="A6" s="35" t="str">
        <x:v>FUN-004</x:v>
      </x:c>
      <x:c r="B6" s="20" t="str">
        <x:v>账号与权限</x:v>
      </x:c>
      <x:c r="C6" s="20" t="str">
        <x:v>统一身份登录及可信代理链路</x:v>
      </x:c>
      <x:c r="D6" s="50" t="str">
        <x:v>部分完成</x:v>
      </x:c>
      <x:c r="E6" s="20" t="str">
        <x:v>已核查自研 OIDC 授权码登录和自动创建系统用户；并非原文 Keycloak、oauth2-proxy、GLPI 可信身份头完整链路。</x:v>
      </x:c>
      <x:c r="F6" s="20" t="str">
        <x:v>先确认遵循原架构还是批准替代方案；补角色/项目映射、可信头防伪、退出和禁用会话失效。</x:v>
      </x:c>
      <x:c r="G6" s="35" t="str">
        <x:v>中</x:v>
      </x:c>
      <x:c r="H6" s="35" t="str">
        <x:v>补齐已知缺口后验收</x:v>
      </x:c>
      <x:c r="I6" s="35" t="str">
        <x:v>S0</x:v>
      </x:c>
      <x:c r="J6" s="48" t="n">
        <x:v>46279</x:v>
      </x:c>
      <x:c r="K6" s="48" t="n">
        <x:v>46290</x:v>
      </x:c>
      <x:c r="L6" s="49" t="n">
        <x:v>3</x:v>
      </x:c>
      <x:c r="M6" s="20" t="str">
        <x:v>后端A + 前端A + QA</x:v>
      </x:c>
      <x:c r="N6" s="20" t="str">
        <x:v>企业角色矩阵、统一身份源及MFA策略</x:v>
      </x:c>
      <x:c r="O6" s="20" t="str">
        <x:v>Agent/管理员通过中央身份源进入授权项目；伪造身份头和绕过代理被拒；退出、过期及账号禁用按批准时限生效。</x:v>
      </x:c>
      <x:c r="P6" s="20" t="str">
        <x:v>IAM-001；§8.2</x:v>
      </x:c>
      <x:c r="Q6" s="23" t="str">
        <x:v>待分配</x:v>
      </x:c>
      <x:c r="R6" s="48"/>
      <x:c r="S6" s="23" t="str">
        <x:v>从泛化的统一登录改为原文明确的身份源与代理链路；仅配置 OIDC 不能直接通过。
原表状态：待验证。</x:v>
      </x:c>
      <x:c r="T6" s="34" t="str">
        <x:v>原文要求（功能拆分）</x:v>
      </x:c>
      <x:c r="U6" s="34" t="str">
        <x:v>静态代码核查</x:v>
      </x:c>
      <x:c r="V6" s="34" t="str">
        <x:v>未完成端到端验收</x:v>
      </x:c>
      <x:c r="W6" s="51" t="str">
        <x:v>未确认</x:v>
      </x:c>
    </x:row>
    <x:row r="7" ht="52" customHeight="1">
      <x:c r="A7" s="35" t="str">
        <x:v>FUN-021</x:v>
      </x:c>
      <x:c r="B7" s="20" t="str">
        <x:v>接待与工单</x:v>
      </x:c>
      <x:c r="C7" s="20" t="str">
        <x:v>到期自动关闭</x:v>
      </x:c>
      <x:c r="D7" s="50" t="str">
        <x:v>待验证</x:v>
      </x:c>
      <x:c r="E7" s="20" t="str">
        <x:v>原表记录（运行未复核）：有自动关闭服务及测试源码</x:v>
      </x:c>
      <x:c r="F7" s="20" t="str">
        <x:v>复验关闭窗口、配置关闭、边界时刻及例外；查关闭码、关闭清单和重开历史。关闭前提醒是否必需由项目另行确认。</x:v>
      </x:c>
      <x:c r="G7" s="35" t="str">
        <x:v>中</x:v>
      </x:c>
      <x:c r="H7" s="35" t="str">
        <x:v>先验证，失败再修复</x:v>
      </x:c>
      <x:c r="I7" s="35" t="str">
        <x:v>S0</x:v>
      </x:c>
      <x:c r="J7" s="48" t="n">
        <x:v>46279</x:v>
      </x:c>
      <x:c r="K7" s="48" t="n">
        <x:v>46290</x:v>
      </x:c>
      <x:c r="L7" s="49" t="n">
        <x:v>3</x:v>
      </x:c>
      <x:c r="M7" s="20" t="str">
        <x:v>后端A + 前端A + QA</x:v>
      </x:c>
      <x:c r="N7" s="20" t="str">
        <x:v>工单类型、优先级和责任人规则确认</x:v>
      </x:c>
      <x:c r="O7" s="20" t="str">
        <x:v>仅满足已批准窗口和关闭条件的工单自动关闭，保留原因与历史；未到期、未解决及例外不关闭。</x:v>
      </x:c>
      <x:c r="P7" s="20" t="str">
        <x:v>TKT-004；§7.3；§9.1</x:v>
      </x:c>
      <x:c r="Q7" s="23" t="str">
        <x:v>待分配</x:v>
      </x:c>
      <x:c r="R7" s="48"/>
      <x:c r="S7" s="23" t="str">
        <x:v>自动关闭窗口在设计章节有依据；“关闭前提醒”不是所引 TKT-004 的明示独立要求。
原表状态：待验证。</x:v>
      </x:c>
      <x:c r="T7" s="34" t="str">
        <x:v>原文要求（功能拆分）</x:v>
      </x:c>
      <x:c r="U7" s="34" t="str">
        <x:v>静态代码核查</x:v>
      </x:c>
      <x:c r="V7" s="34" t="str">
        <x:v>未完成端到端验收</x:v>
      </x:c>
      <x:c r="W7" s="51" t="str">
        <x:v>未确认</x:v>
      </x:c>
    </x:row>
    <x:row r="8" ht="52" customHeight="1">
      <x:c r="A8" s="35" t="str">
        <x:v>FUN-025</x:v>
      </x:c>
      <x:c r="B8" s="20" t="str">
        <x:v>接待与工单</x:v>
      </x:c>
      <x:c r="C8" s="20" t="str">
        <x:v>重复工单合并与关系保留</x:v>
      </x:c>
      <x:c r="D8" s="50" t="str">
        <x:v>待完成</x:v>
      </x:c>
      <x:c r="E8" s="20" t="str">
        <x:v>本次在工单服务、模型、接口及企业页面检索未定位两张工单合并流程；知识去重和请求幂等不是工单合并。</x:v>
      </x:c>
      <x:c r="F8" s="20" t="str">
        <x:v>先确认是否有仓库外实现；无则设计并实现合并关系、原 ID/附件归属/历史审计及 SLA 影响，重新估算开发工作量。</x:v>
      </x:c>
      <x:c r="G8" s="35" t="str">
        <x:v>中</x:v>
      </x:c>
      <x:c r="H8" s="35" t="str">
        <x:v>确认实现位置并重新估算</x:v>
      </x:c>
      <x:c r="I8" s="35" t="str">
        <x:v>S0</x:v>
      </x:c>
      <x:c r="J8" s="48" t="n">
        <x:v>46279</x:v>
      </x:c>
      <x:c r="K8" s="48" t="n">
        <x:v>46290</x:v>
      </x:c>
      <x:c r="L8" s="49" t="n">
        <x:v>3</x:v>
      </x:c>
      <x:c r="M8" s="20" t="str">
        <x:v>后端A + 前端A + QA</x:v>
      </x:c>
      <x:c r="N8" s="20" t="str">
        <x:v>工单类型、优先级和责任人规则确认</x:v>
      </x:c>
      <x:c r="O8" s="20" t="str">
        <x:v>合并前后原 Ticket ID 和记录可查；附件归属、沟通、合并审计及 SLA 影响可追溯，不删除原记录。</x:v>
      </x:c>
      <x:c r="P8" s="20" t="str">
        <x:v>TKT-010</x:v>
      </x:c>
      <x:c r="Q8" s="23" t="str">
        <x:v>待分配</x:v>
      </x:c>
      <x:c r="R8" s="48"/>
      <x:c r="S8" s="23" t="str">
        <x:v>不能继续按已有实现仅待验证计 3 人日；静态检索未发现不等于运行验收失败。
原表状态：待验证。</x:v>
      </x:c>
      <x:c r="T8" s="34" t="str">
        <x:v>原文要求（功能拆分）</x:v>
      </x:c>
      <x:c r="U8" s="34" t="str">
        <x:v>限定范围静态检索</x:v>
      </x:c>
      <x:c r="V8" s="34" t="str">
        <x:v>未完成端到端验收</x:v>
      </x:c>
      <x:c r="W8" s="51" t="str">
        <x:v>未确认</x:v>
      </x:c>
    </x:row>
    <x:row r="9" ht="52" customHeight="1">
      <x:c r="A9" s="35" t="str">
        <x:v>FUN-028</x:v>
      </x:c>
      <x:c r="B9" s="20" t="str">
        <x:v>专家与服务目录</x:v>
      </x:c>
      <x:c r="C9" s="20" t="str">
        <x:v>产品支持组及工程师配置</x:v>
      </x:c>
      <x:c r="D9" s="50" t="str">
        <x:v>待验证</x:v>
      </x:c>
      <x:c r="E9" s="20" t="str">
        <x:v>原表记录（运行未复核）：已有产品支持组织与团队管理；历史曾配置工程师派单</x:v>
      </x:c>
      <x:c r="F9" s="20" t="str">
        <x:v>验证各产品组、Owner及成员变更权限</x:v>
      </x:c>
      <x:c r="G9" s="35" t="str">
        <x:v>中</x:v>
      </x:c>
      <x:c r="H9" s="35" t="str">
        <x:v>先验证，失败再修复</x:v>
      </x:c>
      <x:c r="I9" s="35" t="str">
        <x:v>S0</x:v>
      </x:c>
      <x:c r="J9" s="48" t="n">
        <x:v>46279</x:v>
      </x:c>
      <x:c r="K9" s="48" t="n">
        <x:v>46290</x:v>
      </x:c>
      <x:c r="L9" s="49" t="n">
        <x:v>3</x:v>
      </x:c>
      <x:c r="M9" s="20" t="str">
        <x:v>后端B + 前端B + QA</x:v>
      </x:c>
      <x:c r="N9" s="20" t="str">
        <x:v>服务目录、专家联系人、合同及OLA资料</x:v>
      </x:c>
      <x:c r="O9" s="20" t="str">
        <x:v>产品可配置支持组并按该组派单</x:v>
      </x:c>
      <x:c r="P9" s="20" t="str">
        <x:v>REG-001</x:v>
      </x:c>
      <x:c r="Q9" s="23" t="str">
        <x:v>待分配</x:v>
      </x:c>
      <x:c r="R9" s="48"/>
      <x:c r="S9" s="23" t="str">
        <x:v>产品组和工程师配置是 REG-001 的部分适配；活动服务/组件、日历、升级路线、有效期在 FUN-029 等项继续验收。
原表状态：待验证。</x:v>
      </x:c>
      <x:c r="T9" s="34" t="str">
        <x:v>系统适配（产品支持组织）</x:v>
      </x:c>
      <x:c r="U9" s="34" t="str">
        <x:v>代码/测试入口定位</x:v>
      </x:c>
      <x:c r="V9" s="34" t="str">
        <x:v>未完成端到端验收</x:v>
      </x:c>
      <x:c r="W9" s="51" t="str">
        <x:v>未确认</x:v>
      </x:c>
    </x:row>
    <x:row r="10" ht="52" customHeight="1">
      <x:c r="A10" s="35" t="str">
        <x:v>FUN-054</x:v>
      </x:c>
      <x:c r="B10" s="20" t="str">
        <x:v>知识与机器人</x:v>
      </x:c>
      <x:c r="C10" s="20" t="str">
        <x:v>机器人内容与流程审批回滚</x:v>
      </x:c>
      <x:c r="D10" s="50" t="str">
        <x:v>部分完成</x:v>
      </x:c>
      <x:c r="E10" s="20" t="str">
        <x:v>已核查 Agent 发布候选、审核、部署与回滚及运行快照；未证明全部敏感意图和升级策略都随版本冻结。</x:v>
      </x:c>
      <x:c r="F10" s="20" t="str">
        <x:v>对内容、意图、流程、Fallback 阈值、敏感意图、升级策略六类逐一核对版本快照；区分工作流回滚和运行中 Agent 发布回滚。</x:v>
      </x:c>
      <x:c r="G10" s="35" t="str">
        <x:v>中</x:v>
      </x:c>
      <x:c r="H10" s="35" t="str">
        <x:v>补齐已知缺口后验收</x:v>
      </x:c>
      <x:c r="I10" s="35" t="str">
        <x:v>S0</x:v>
      </x:c>
      <x:c r="J10" s="48" t="n">
        <x:v>46279</x:v>
      </x:c>
      <x:c r="K10" s="48" t="n">
        <x:v>46290</x:v>
      </x:c>
      <x:c r="L10" s="49" t="n">
        <x:v>3</x:v>
      </x:c>
      <x:c r="M10" s="20" t="str">
        <x:v>后端B + 前端B + QA</x:v>
      </x:c>
      <x:c r="N10" s="20" t="str">
        <x:v>获批知识、敏感动作清单和转人工阈值</x:v>
      </x:c>
      <x:c r="O10" s="20" t="str">
        <x:v>六类配置未批准不可上线；发布后修改草稿不影响运行版本；回滚实际运行行为恢复，强制转人工条件仍满足。</x:v>
      </x:c>
      <x:c r="P10" s="20" t="str">
        <x:v>DCH-004</x:v>
      </x:c>
      <x:c r="Q10" s="23" t="str">
        <x:v>待分配</x:v>
      </x:c>
      <x:c r="R10" s="48"/>
      <x:c r="S10" s="23" t="str">
        <x:v>审批/回滚接口存在不等于 DCH-004 全部配置治理闭环完成。
原表状态：待验证。</x:v>
      </x:c>
      <x:c r="T10" s="34" t="str">
        <x:v>原文要求（功能拆分）</x:v>
      </x:c>
      <x:c r="U10" s="34" t="str">
        <x:v>静态代码核查</x:v>
      </x:c>
      <x:c r="V10" s="34" t="str">
        <x:v>未完成端到端验收</x:v>
      </x:c>
      <x:c r="W10" s="51" t="str">
        <x:v>未确认</x:v>
      </x:c>
    </x:row>
    <x:row r="11" ht="52" customHeight="1">
      <x:c r="A11" s="35" t="str">
        <x:v>FUN-003</x:v>
      </x:c>
      <x:c r="B11" s="20" t="str">
        <x:v>账号与权限</x:v>
      </x:c>
      <x:c r="C11" s="20" t="str">
        <x:v>按企业与角色限制访问</x:v>
      </x:c>
      <x:c r="D11" s="50" t="str">
        <x:v>部分完成</x:v>
      </x:c>
      <x:c r="E11" s="20" t="str">
        <x:v>原表记录（运行未复核）：已有企业隔离、角色权限；演示已验证客户不能访问企业接口</x:v>
      </x:c>
      <x:c r="F11" s="20" t="str">
        <x:v>补全L1、Lead/QA、L2、L3、项目管理员、SRE、审计员与服务账号权限</x:v>
      </x:c>
      <x:c r="G11" s="35" t="str">
        <x:v>高</x:v>
      </x:c>
      <x:c r="H11" s="35" t="str">
        <x:v>补齐缺口并验收</x:v>
      </x:c>
      <x:c r="I11" s="35" t="str">
        <x:v>S1</x:v>
      </x:c>
      <x:c r="J11" s="48" t="n">
        <x:v>46293</x:v>
      </x:c>
      <x:c r="K11" s="48" t="n">
        <x:v>46304</x:v>
      </x:c>
      <x:c r="L11" s="49" t="n">
        <x:v>8</x:v>
      </x:c>
      <x:c r="M11" s="20" t="str">
        <x:v>后端A + 前端A + QA</x:v>
      </x:c>
      <x:c r="N11" s="20" t="str">
        <x:v>企业角色矩阵、统一身份源及MFA策略</x:v>
      </x:c>
      <x:c r="O11" s="20" t="str">
        <x:v>各角色只能查看和操作授权功能</x:v>
      </x:c>
      <x:c r="P11" s="20" t="str">
        <x:v>IAM-003</x:v>
      </x:c>
      <x:c r="Q11" s="23" t="str">
        <x:v>待分配</x:v>
      </x:c>
      <x:c r="R11" s="48"/>
      <x:c r="S11" s="23" t="str">
        <x:v>保留原功能拆分，补真实原文摘录、来源级别及证据范围；本次不新增验收通过结论。
原表状态：部分完成。</x:v>
      </x:c>
      <x:c r="T11" s="34" t="str">
        <x:v>原文要求（功能拆分）</x:v>
      </x:c>
      <x:c r="U11" s="34" t="str">
        <x:v>原表陈述，未复核</x:v>
      </x:c>
      <x:c r="V11" s="34" t="str">
        <x:v>未完成端到端验收</x:v>
      </x:c>
      <x:c r="W11" s="51" t="str">
        <x:v>未确认</x:v>
      </x:c>
    </x:row>
    <x:row r="12" ht="52" customHeight="1">
      <x:c r="A12" s="35" t="str">
        <x:v>FUN-005</x:v>
      </x:c>
      <x:c r="B12" s="20" t="str">
        <x:v>账号与权限</x:v>
      </x:c>
      <x:c r="C12" s="20" t="str">
        <x:v>多因素登录验证</x:v>
      </x:c>
      <x:c r="D12" s="50" t="str">
        <x:v>待完成</x:v>
      </x:c>
      <x:c r="E12" s="20" t="str">
        <x:v>原表记录（运行未复核）：未找到完整强制MFA业务流程</x:v>
      </x:c>
      <x:c r="F12" s="20" t="str">
        <x:v>按 IAM-002 落实所有用户强制 MFA；管理员优先 WebAuthn，Agent 可用 TOTP；恢复策略另行批准。</x:v>
      </x:c>
      <x:c r="G12" s="35" t="str">
        <x:v>高</x:v>
      </x:c>
      <x:c r="H12" s="35" t="str">
        <x:v>新增功能并验收</x:v>
      </x:c>
      <x:c r="I12" s="35" t="str">
        <x:v>S1</x:v>
      </x:c>
      <x:c r="J12" s="48" t="n">
        <x:v>46293</x:v>
      </x:c>
      <x:c r="K12" s="48" t="n">
        <x:v>46304</x:v>
      </x:c>
      <x:c r="L12" s="49" t="n">
        <x:v>18</x:v>
      </x:c>
      <x:c r="M12" s="20" t="str">
        <x:v>后端A + 前端A + QA</x:v>
      </x:c>
      <x:c r="N12" s="20" t="str">
        <x:v>企业角色矩阵、统一身份源及MFA策略</x:v>
      </x:c>
      <x:c r="O12" s="20" t="str">
        <x:v>所有用户不能仅凭密码完成登录；按角色验证 WebAuthn/TOTP、强制策略和批准的恢复流程。</x:v>
      </x:c>
      <x:c r="P12" s="20" t="str">
        <x:v>IAM-002</x:v>
      </x:c>
      <x:c r="Q12" s="23" t="str">
        <x:v>待分配</x:v>
      </x:c>
      <x:c r="R12" s="48"/>
      <x:c r="S12" s="23" t="str">
        <x:v>恢复和绑定流程是实施细化，原文明示重点是所有用户 MFA 及因素策略。
原表状态：待完成。</x:v>
      </x:c>
      <x:c r="T12" s="34" t="str">
        <x:v>原文要求（功能拆分）</x:v>
      </x:c>
      <x:c r="U12" s="34" t="str">
        <x:v>原表陈述，未复核</x:v>
      </x:c>
      <x:c r="V12" s="34" t="str">
        <x:v>未完成端到端验收</x:v>
      </x:c>
      <x:c r="W12" s="51" t="str">
        <x:v>未确认</x:v>
      </x:c>
    </x:row>
    <x:row r="13" ht="52" customHeight="1">
      <x:c r="A13" s="35" t="str">
        <x:v>FUN-013</x:v>
      </x:c>
      <x:c r="B13" s="20" t="str">
        <x:v>接待与工单</x:v>
      </x:c>
      <x:c r="C13" s="20" t="str">
        <x:v>外部API或Webhook受理</x:v>
      </x:c>
      <x:c r="D13" s="50" t="str">
        <x:v>部分完成</x:v>
      </x:c>
      <x:c r="E13" s="20" t="str">
        <x:v>原表记录（运行未复核）：有连接器、Webhook和任务处理基础</x:v>
      </x:c>
      <x:c r="F13" s="20" t="str">
        <x:v>核验项目范围、来源 ID、签名、时间窗和重放防护；同幂等键同载荷返回原结果，不同载荷返回冲突；失败重试与死信可见。</x:v>
      </x:c>
      <x:c r="G13" s="35" t="str">
        <x:v>高</x:v>
      </x:c>
      <x:c r="H13" s="35" t="str">
        <x:v>补齐缺口并验收</x:v>
      </x:c>
      <x:c r="I13" s="35" t="str">
        <x:v>S1</x:v>
      </x:c>
      <x:c r="J13" s="48" t="n">
        <x:v>46293</x:v>
      </x:c>
      <x:c r="K13" s="48" t="n">
        <x:v>46304</x:v>
      </x:c>
      <x:c r="L13" s="49" t="n">
        <x:v>8</x:v>
      </x:c>
      <x:c r="M13" s="20" t="str">
        <x:v>后端A + 前端A + QA</x:v>
      </x:c>
      <x:c r="N13" s="20" t="str">
        <x:v>工单类型、优先级和责任人规则确认</x:v>
      </x:c>
      <x:c r="O13" s="20" t="str">
        <x:v>授权来源可建单；重复相同请求不重建，同键不同载荷报冲突；伪造、过期、跨项目请求被拒且失败可追查。</x:v>
      </x:c>
      <x:c r="P13" s="20" t="str">
        <x:v>TKT-001；EVT-002；§8.6</x:v>
      </x:c>
      <x:c r="Q13" s="23" t="str">
        <x:v>待分配</x:v>
      </x:c>
      <x:c r="R13" s="48"/>
      <x:c r="S13" s="23" t="str">
        <x:v>补充接口原则和 EVT-002，避免仅以不重复建单代替安全与幂等完整验收。
原表状态：部分完成。</x:v>
      </x:c>
      <x:c r="T13" s="34" t="str">
        <x:v>原文要求（功能拆分）</x:v>
      </x:c>
      <x:c r="U13" s="34" t="str">
        <x:v>原表陈述，未复核</x:v>
      </x:c>
      <x:c r="V13" s="34" t="str">
        <x:v>未完成端到端验收</x:v>
      </x:c>
      <x:c r="W13" s="51" t="str">
        <x:v>未确认</x:v>
      </x:c>
    </x:row>
    <x:row r="14" ht="52" customHeight="1">
      <x:c r="A14" s="35" t="str">
        <x:v>FUN-014</x:v>
      </x:c>
      <x:c r="B14" s="20" t="str">
        <x:v>接待与工单</x:v>
      </x:c>
      <x:c r="C14" s="20" t="str">
        <x:v>缺少必要信息时标记和补充</x:v>
      </x:c>
      <x:c r="D14" s="50" t="str">
        <x:v>部分完成</x:v>
      </x:c>
      <x:c r="E14" s="20" t="str">
        <x:v>原表记录（运行未复核）：AI流程有设备与产品上下文校验</x:v>
      </x:c>
      <x:c r="F14" s="20" t="str">
        <x:v>补按渠道/工单类型要求的信息和明确缺失状态</x:v>
      </x:c>
      <x:c r="G14" s="35" t="str">
        <x:v>高</x:v>
      </x:c>
      <x:c r="H14" s="35" t="str">
        <x:v>补齐缺口并验收</x:v>
      </x:c>
      <x:c r="I14" s="35" t="str">
        <x:v>S1</x:v>
      </x:c>
      <x:c r="J14" s="48" t="n">
        <x:v>46293</x:v>
      </x:c>
      <x:c r="K14" s="48" t="n">
        <x:v>46304</x:v>
      </x:c>
      <x:c r="L14" s="49" t="n">
        <x:v>8</x:v>
      </x:c>
      <x:c r="M14" s="20" t="str">
        <x:v>后端A + 前端A + QA</x:v>
      </x:c>
      <x:c r="N14" s="20" t="str">
        <x:v>工单类型、优先级和责任人规则确认</x:v>
      </x:c>
      <x:c r="O14" s="20" t="str">
        <x:v>按渠道、类型、项目策略验证必填上下文；不足时标记 Context Incomplete，禁止填充伪造内容。</x:v>
      </x:c>
      <x:c r="P14" s="20" t="str">
        <x:v>TKT-002</x:v>
      </x:c>
      <x:c r="Q14" s="23" t="str">
        <x:v>待分配</x:v>
      </x:c>
      <x:c r="R14" s="48"/>
      <x:c r="S14" s="23" t="str">
        <x:v>保留原文 Context Incomplete 状态与不得伪造数据约束。
原表状态：部分完成。</x:v>
      </x:c>
      <x:c r="T14" s="34" t="str">
        <x:v>原文要求（功能拆分）</x:v>
      </x:c>
      <x:c r="U14" s="34" t="str">
        <x:v>原表陈述，未复核</x:v>
      </x:c>
      <x:c r="V14" s="34" t="str">
        <x:v>未完成端到端验收</x:v>
      </x:c>
      <x:c r="W14" s="51" t="str">
        <x:v>未确认</x:v>
      </x:c>
    </x:row>
    <x:row r="15" ht="52" customHeight="1">
      <x:c r="A15" s="35" t="str">
        <x:v>FUN-038</x:v>
      </x:c>
      <x:c r="B15" s="20" t="str">
        <x:v>时限与提醒</x:v>
      </x:c>
      <x:c r="C15" s="20" t="str">
        <x:v>标准/增强/关键服务目标套餐</x:v>
      </x:c>
      <x:c r="D15" s="50" t="str">
        <x:v>部分完成</x:v>
      </x:c>
      <x:c r="E15" s="20" t="str">
        <x:v>原表记录（运行未复核）：已有可配置SLA策略</x:v>
      </x:c>
      <x:c r="F15" s="20" t="str">
        <x:v>补三类目标套餐、项目选择及历史版本</x:v>
      </x:c>
      <x:c r="G15" s="35" t="str">
        <x:v>中</x:v>
      </x:c>
      <x:c r="H15" s="35" t="str">
        <x:v>补齐缺口并验收</x:v>
      </x:c>
      <x:c r="I15" s="35" t="str">
        <x:v>S1</x:v>
      </x:c>
      <x:c r="J15" s="48" t="n">
        <x:v>46293</x:v>
      </x:c>
      <x:c r="K15" s="48" t="n">
        <x:v>46304</x:v>
      </x:c>
      <x:c r="L15" s="49" t="n">
        <x:v>8</x:v>
      </x:c>
      <x:c r="M15" s="20" t="str">
        <x:v>后端A + 前端A + QA</x:v>
      </x:c>
      <x:c r="N15" s="20" t="str">
        <x:v>SLA目标、营业日历、节假日及暂停规则</x:v>
      </x:c>
      <x:c r="O15" s="20" t="str">
        <x:v>企业选择不同服务目标后按约定执行</x:v>
      </x:c>
      <x:c r="P15" s="20" t="str">
        <x:v>SLA-002</x:v>
      </x:c>
      <x:c r="Q15" s="23" t="str">
        <x:v>待分配</x:v>
      </x:c>
      <x:c r="R15" s="48"/>
      <x:c r="S15" s="23" t="str">
        <x:v>保留原功能拆分，补真实原文摘录、来源级别及证据范围；本次不新增验收通过结论。
原表状态：部分完成。</x:v>
      </x:c>
      <x:c r="T15" s="34" t="str">
        <x:v>原文要求（功能拆分）</x:v>
      </x:c>
      <x:c r="U15" s="34" t="str">
        <x:v>原表陈述，未复核</x:v>
      </x:c>
      <x:c r="V15" s="34" t="str">
        <x:v>未完成端到端验收</x:v>
      </x:c>
      <x:c r="W15" s="51" t="str">
        <x:v>未确认</x:v>
      </x:c>
    </x:row>
    <x:row r="16" ht="52" customHeight="1">
      <x:c r="A16" s="35" t="str">
        <x:v>FUN-006</x:v>
      </x:c>
      <x:c r="B16" s="20" t="str">
        <x:v>账号与权限</x:v>
      </x:c>
      <x:c r="C16" s="20" t="str">
        <x:v>人员入职、调岗、离职撤权</x:v>
      </x:c>
      <x:c r="D16" s="50" t="str">
        <x:v>部分完成</x:v>
      </x:c>
      <x:c r="E16" s="20" t="str">
        <x:v>原表记录（运行未复核）：已有成员、角色和账号状态管理</x:v>
      </x:c>
      <x:c r="F16" s="20" t="str">
        <x:v>补统一账号禁用后的会话失效、授权对账及变更记录</x:v>
      </x:c>
      <x:c r="G16" s="35" t="str">
        <x:v>高</x:v>
      </x:c>
      <x:c r="H16" s="35" t="str">
        <x:v>补齐缺口并验收</x:v>
      </x:c>
      <x:c r="I16" s="35" t="str">
        <x:v>S2</x:v>
      </x:c>
      <x:c r="J16" s="48" t="n">
        <x:v>46307</x:v>
      </x:c>
      <x:c r="K16" s="48" t="n">
        <x:v>46318</x:v>
      </x:c>
      <x:c r="L16" s="49" t="n">
        <x:v>8</x:v>
      </x:c>
      <x:c r="M16" s="20" t="str">
        <x:v>后端A + 前端A + QA</x:v>
      </x:c>
      <x:c r="N16" s="20" t="str">
        <x:v>企业角色矩阵、统一身份源及MFA策略</x:v>
      </x:c>
      <x:c r="O16" s="20" t="str">
        <x:v>离职账号及已有会话在规定时间内失效</x:v>
      </x:c>
      <x:c r="P16" s="20" t="str">
        <x:v>IAM-004；IAM-007</x:v>
      </x:c>
      <x:c r="Q16" s="23" t="str">
        <x:v>待分配</x:v>
      </x:c>
      <x:c r="R16" s="48"/>
      <x:c r="S16" s="23" t="str">
        <x:v>保留原功能拆分，补真实原文摘录、来源级别及证据范围；本次不新增验收通过结论。
原表状态：部分完成。</x:v>
      </x:c>
      <x:c r="T16" s="34" t="str">
        <x:v>原文要求（功能拆分）</x:v>
      </x:c>
      <x:c r="U16" s="34" t="str">
        <x:v>原表陈述，未复核</x:v>
      </x:c>
      <x:c r="V16" s="34" t="str">
        <x:v>未完成端到端验收</x:v>
      </x:c>
      <x:c r="W16" s="51" t="str">
        <x:v>未确认</x:v>
      </x:c>
    </x:row>
    <x:row r="17" ht="52" customHeight="1">
      <x:c r="A17" s="35" t="str">
        <x:v>FUN-010</x:v>
      </x:c>
      <x:c r="B17" s="20" t="str">
        <x:v>接待与工单</x:v>
      </x:c>
      <x:c r="C17" s="20" t="str">
        <x:v>邮件收信自动建单</x:v>
      </x:c>
      <x:c r="D17" s="50" t="str">
        <x:v>待完成</x:v>
      </x:c>
      <x:c r="E17" s="20" t="str">
        <x:v>原表记录（运行未复核）：现有发信功能不能证明具备收件建单</x:v>
      </x:c>
      <x:c r="F17" s="20" t="str">
        <x:v>增加收件、来源标识、附件关联与建单</x:v>
      </x:c>
      <x:c r="G17" s="35" t="str">
        <x:v>高</x:v>
      </x:c>
      <x:c r="H17" s="35" t="str">
        <x:v>新增功能并验收</x:v>
      </x:c>
      <x:c r="I17" s="35" t="str">
        <x:v>S2</x:v>
      </x:c>
      <x:c r="J17" s="48" t="n">
        <x:v>46307</x:v>
      </x:c>
      <x:c r="K17" s="48" t="n">
        <x:v>46318</x:v>
      </x:c>
      <x:c r="L17" s="49" t="n">
        <x:v>25</x:v>
      </x:c>
      <x:c r="M17" s="20" t="str">
        <x:v>后端A + 前端A + QA</x:v>
      </x:c>
      <x:c r="N17" s="20" t="str">
        <x:v>工单类型、优先级和责任人规则确认</x:v>
      </x:c>
      <x:c r="O17" s="20" t="str">
        <x:v>新邮件自动建单且保留原始邮件标识</x:v>
      </x:c>
      <x:c r="P17" s="20" t="str">
        <x:v>TKT-001；§8.3</x:v>
      </x:c>
      <x:c r="Q17" s="23" t="str">
        <x:v>待分配</x:v>
      </x:c>
      <x:c r="R17" s="48"/>
      <x:c r="S17" s="23" t="str">
        <x:v>新邮件建单映射到 TKT-001 和邮件集成章节；TKT-008 专指回复线程匹配。
原表状态：待完成。</x:v>
      </x:c>
      <x:c r="T17" s="34" t="str">
        <x:v>原文要求（功能拆分）</x:v>
      </x:c>
      <x:c r="U17" s="34" t="str">
        <x:v>原表陈述，未复核</x:v>
      </x:c>
      <x:c r="V17" s="34" t="str">
        <x:v>未完成端到端验收</x:v>
      </x:c>
      <x:c r="W17" s="51" t="str">
        <x:v>未确认</x:v>
      </x:c>
    </x:row>
    <x:row r="18" ht="52" customHeight="1">
      <x:c r="A18" s="35" t="str">
        <x:v>FUN-063</x:v>
      </x:c>
      <x:c r="B18" s="20" t="str">
        <x:v>语言与通知</x:v>
      </x:c>
      <x:c r="C18" s="20" t="str">
        <x:v>邮件提醒及投递失败处理</x:v>
      </x:c>
      <x:c r="D18" s="50" t="str">
        <x:v>部分完成</x:v>
      </x:c>
      <x:c r="E18" s="20" t="str">
        <x:v>原表记录：已有通知与投递队列。本次未读取在线 SMTP 配置或实际发送邮件，不能沿用“本地 SMTP 未启用”的现状断言。</x:v>
      </x:c>
      <x:c r="F18" s="20" t="str">
        <x:v>以当前环境确认 SMTP、批准模板、语言及隐私；验证真实收件、失败重试、阈值告警和人工跟进。</x:v>
      </x:c>
      <x:c r="G18" s="35" t="str">
        <x:v>高</x:v>
      </x:c>
      <x:c r="H18" s="35" t="str">
        <x:v>补齐缺口并验收</x:v>
      </x:c>
      <x:c r="I18" s="35" t="str">
        <x:v>S2</x:v>
      </x:c>
      <x:c r="J18" s="48" t="n">
        <x:v>46307</x:v>
      </x:c>
      <x:c r="K18" s="48" t="n">
        <x:v>46318</x:v>
      </x:c>
      <x:c r="L18" s="49" t="n">
        <x:v>8</x:v>
      </x:c>
      <x:c r="M18" s="20" t="str">
        <x:v>前端B + 后端B + QA</x:v>
      </x:c>
      <x:c r="N18" s="20" t="str">
        <x:v>SMTP账号；阿语术语和RTL验收人员</x:v>
      </x:c>
      <x:c r="O18" s="20" t="str">
        <x:v>正常收到提醒，失败可见并可重试</x:v>
      </x:c>
      <x:c r="P18" s="20" t="str">
        <x:v>TKT-009；§8.3</x:v>
      </x:c>
      <x:c r="Q18" s="23" t="str">
        <x:v>待分配</x:v>
      </x:c>
      <x:c r="R18" s="48"/>
      <x:c r="S18" s="23" t="str">
        <x:v>移除可能已经过期的 SMTP 状态，补发件失败重试与告警的第 8.3 节依据。
原表状态：部分完成。</x:v>
      </x:c>
      <x:c r="T18" s="34" t="str">
        <x:v>原文要求（功能拆分）</x:v>
      </x:c>
      <x:c r="U18" s="34" t="str">
        <x:v>原表陈述，未复核</x:v>
      </x:c>
      <x:c r="V18" s="34" t="str">
        <x:v>未完成端到端验收</x:v>
      </x:c>
      <x:c r="W18" s="51" t="str">
        <x:v>未确认</x:v>
      </x:c>
    </x:row>
    <x:row r="19" ht="66" customHeight="1">
      <x:c r="A19" s="35" t="str">
        <x:v>FUN-090</x:v>
      </x:c>
      <x:c r="B19" s="20" t="str">
        <x:v>账号与权限</x:v>
      </x:c>
      <x:c r="C19" s="20" t="str">
        <x:v>外部系统独立服务账号与短期凭据</x:v>
      </x:c>
      <x:c r="D19" s="50" t="str">
        <x:v>部分完成</x:v>
      </x:c>
      <x:c r="E19" s="20" t="str">
        <x:v>原表记录（运行未复核）：已有ServiceAccount数据模型、权限范围、IP限制、到期时间和审计字段基础</x:v>
      </x:c>
      <x:c r="F19" s="20" t="str">
        <x:v>验证独立服务账号、受控凭据或短期 Token、限权、停用和轮换；是否新增 Client Credential 换 Token 接口由实施方案确定。</x:v>
      </x:c>
      <x:c r="G19" s="35" t="str">
        <x:v>高</x:v>
      </x:c>
      <x:c r="H19" s="35" t="str">
        <x:v>补齐缺口并验收</x:v>
      </x:c>
      <x:c r="I19" s="35" t="str">
        <x:v>S2</x:v>
      </x:c>
      <x:c r="J19" s="48" t="n">
        <x:v>46307</x:v>
      </x:c>
      <x:c r="K19" s="48" t="n">
        <x:v>46318</x:v>
      </x:c>
      <x:c r="L19" s="49" t="n">
        <x:v>8</x:v>
      </x:c>
      <x:c r="M19" s="20" t="str">
        <x:v>后端A + 前端A + QA</x:v>
      </x:c>
      <x:c r="N19" s="20" t="str">
        <x:v>企业角色矩阵、统一身份源及MFA策略</x:v>
      </x:c>
      <x:c r="O19" s="20" t="str">
        <x:v>外部系统使用独立凭据获得限权短期Token；人员账号凭据不能替代；停用或到期后立即拒绝访问</x:v>
      </x:c>
      <x:c r="P19" s="20" t="str">
        <x:v>IAM-006</x:v>
      </x:c>
      <x:c r="Q19" s="23" t="str">
        <x:v>待分配</x:v>
      </x:c>
      <x:c r="R19" s="48"/>
      <x:c r="S19" s="23" t="str">
        <x:v>2026-09-07复核需求原文时补入
原文允许短生命周期 Token 或受控 Client Credential，不应把新建换 Token 接口写成唯一强制实现。
原表状态：部分完成。</x:v>
      </x:c>
      <x:c r="T19" s="34" t="str">
        <x:v>原文要求（功能拆分）</x:v>
      </x:c>
      <x:c r="U19" s="34" t="str">
        <x:v>原表陈述，未复核</x:v>
      </x:c>
      <x:c r="V19" s="34" t="str">
        <x:v>未完成端到端验收</x:v>
      </x:c>
      <x:c r="W19" s="51" t="str">
        <x:v>未确认</x:v>
      </x:c>
    </x:row>
    <x:row r="20" ht="52" customHeight="1">
      <x:c r="A20" s="35" t="str">
        <x:v>FUN-011</x:v>
      </x:c>
      <x:c r="B20" s="20" t="str">
        <x:v>接待与工单</x:v>
      </x:c>
      <x:c r="C20" s="20" t="str">
        <x:v>回复邮件匹配原工单</x:v>
      </x:c>
      <x:c r="D20" s="50" t="str">
        <x:v>待完成</x:v>
      </x:c>
      <x:c r="E20" s="20" t="str">
        <x:v>原表记录（运行未复核）：未找到完整邮件线程关联业务</x:v>
      </x:c>
      <x:c r="F20" s="20" t="str">
        <x:v>按邮件线程关联，歧义进入人工待关联</x:v>
      </x:c>
      <x:c r="G20" s="35" t="str">
        <x:v>高</x:v>
      </x:c>
      <x:c r="H20" s="35" t="str">
        <x:v>新增功能并验收</x:v>
      </x:c>
      <x:c r="I20" s="35" t="str">
        <x:v>S3</x:v>
      </x:c>
      <x:c r="J20" s="48" t="n">
        <x:v>46321</x:v>
      </x:c>
      <x:c r="K20" s="48" t="n">
        <x:v>46332</x:v>
      </x:c>
      <x:c r="L20" s="49" t="n">
        <x:v>18</x:v>
      </x:c>
      <x:c r="M20" s="20" t="str">
        <x:v>后端A + 前端A + QA</x:v>
      </x:c>
      <x:c r="N20" s="20" t="str">
        <x:v>工单类型、优先级和责任人规则确认</x:v>
      </x:c>
      <x:c r="O20" s="20" t="str">
        <x:v>回复更新正确工单，无法匹配时不误关联</x:v>
      </x:c>
      <x:c r="P20" s="20" t="str">
        <x:v>TKT-008；§8.3</x:v>
      </x:c>
      <x:c r="Q20" s="23" t="str">
        <x:v>待分配</x:v>
      </x:c>
      <x:c r="R20" s="48"/>
      <x:c r="S20" s="23" t="str">
        <x:v>补充 Message-ID、In-Reply-To、References 等原文字段依据。
原表状态：待完成。</x:v>
      </x:c>
      <x:c r="T20" s="34" t="str">
        <x:v>原文要求（功能拆分）</x:v>
      </x:c>
      <x:c r="U20" s="34" t="str">
        <x:v>原表陈述，未复核</x:v>
      </x:c>
      <x:c r="V20" s="34" t="str">
        <x:v>未完成端到端验收</x:v>
      </x:c>
      <x:c r="W20" s="51" t="str">
        <x:v>未确认</x:v>
      </x:c>
    </x:row>
    <x:row r="21" ht="52" customHeight="1">
      <x:c r="A21" s="35" t="str">
        <x:v>FUN-022</x:v>
      </x:c>
      <x:c r="B21" s="20" t="str">
        <x:v>接待与工单</x:v>
      </x:c>
      <x:c r="C21" s="20" t="str">
        <x:v>标准工单类型及状态</x:v>
      </x:c>
      <x:c r="D21" s="50" t="str">
        <x:v>部分完成</x:v>
      </x:c>
      <x:c r="E21" s="20" t="str">
        <x:v>原表记录（运行未复核）：现有以设备售后工单及处理状态为主</x:v>
      </x:c>
      <x:c r="F21" s="20" t="str">
        <x:v>补用户Case、Incident、Major Incident、Problem、Known Error、Service Request及状态映射</x:v>
      </x:c>
      <x:c r="G21" s="35" t="str">
        <x:v>高</x:v>
      </x:c>
      <x:c r="H21" s="35" t="str">
        <x:v>补齐缺口并验收</x:v>
      </x:c>
      <x:c r="I21" s="35" t="str">
        <x:v>S3</x:v>
      </x:c>
      <x:c r="J21" s="48" t="n">
        <x:v>46321</x:v>
      </x:c>
      <x:c r="K21" s="48" t="n">
        <x:v>46332</x:v>
      </x:c>
      <x:c r="L21" s="49" t="n">
        <x:v>30</x:v>
      </x:c>
      <x:c r="M21" s="20" t="str">
        <x:v>后端A + 前端A + QA</x:v>
      </x:c>
      <x:c r="N21" s="20" t="str">
        <x:v>工单类型、优先级和责任人规则确认</x:v>
      </x:c>
      <x:c r="O21" s="20" t="str">
        <x:v>六类对象、父子/关联/重复/因果关系及十类标准状态均有映射；Restored 与 Resolved 可区分，非法迁移被拒。</x:v>
      </x:c>
      <x:c r="P21" s="20" t="str">
        <x:v>TKT-003；TKT-004；§7.3</x:v>
      </x:c>
      <x:c r="Q21" s="23" t="str">
        <x:v>待分配</x:v>
      </x:c>
      <x:c r="R21" s="48"/>
      <x:c r="S21" s="23" t="str">
        <x:v>补回对象关系与完整状态约束，避免只验证六类名称。
原表状态：部分完成。</x:v>
      </x:c>
      <x:c r="T21" s="34" t="str">
        <x:v>原文要求（功能拆分）</x:v>
      </x:c>
      <x:c r="U21" s="34" t="str">
        <x:v>原表陈述，未复核</x:v>
      </x:c>
      <x:c r="V21" s="34" t="str">
        <x:v>未完成端到端验收</x:v>
      </x:c>
      <x:c r="W21" s="51" t="str">
        <x:v>未确认</x:v>
      </x:c>
    </x:row>
    <x:row r="22" ht="52" customHeight="1">
      <x:c r="A22" s="35" t="str">
        <x:v>FUN-012</x:v>
      </x:c>
      <x:c r="B22" s="20" t="str">
        <x:v>接待与工单</x:v>
      </x:c>
      <x:c r="C22" s="20" t="str">
        <x:v>自动回复、退信防循环</x:v>
      </x:c>
      <x:c r="D22" s="50" t="str">
        <x:v>待完成</x:v>
      </x:c>
      <x:c r="E22" s="20" t="str">
        <x:v>原表记录（运行未复核）：未找到完整收信防循环流程</x:v>
      </x:c>
      <x:c r="F22" s="20" t="str">
        <x:v>识别自动回复、退信与休假回复，避免重复建单</x:v>
      </x:c>
      <x:c r="G22" s="35" t="str">
        <x:v>高</x:v>
      </x:c>
      <x:c r="H22" s="35" t="str">
        <x:v>新增功能并验收</x:v>
      </x:c>
      <x:c r="I22" s="35" t="str">
        <x:v>S4</x:v>
      </x:c>
      <x:c r="J22" s="48" t="n">
        <x:v>46335</x:v>
      </x:c>
      <x:c r="K22" s="48" t="n">
        <x:v>46346</x:v>
      </x:c>
      <x:c r="L22" s="49" t="n">
        <x:v>12</x:v>
      </x:c>
      <x:c r="M22" s="20" t="str">
        <x:v>后端A + 前端A + QA</x:v>
      </x:c>
      <x:c r="N22" s="20" t="str">
        <x:v>工单类型、优先级和责任人规则确认</x:v>
      </x:c>
      <x:c r="O22" s="20" t="str">
        <x:v>退信/自动回复不会无限创建工单</x:v>
      </x:c>
      <x:c r="P22" s="20" t="str">
        <x:v>§8.3</x:v>
      </x:c>
      <x:c r="Q22" s="23" t="str">
        <x:v>待分配</x:v>
      </x:c>
      <x:c r="R22" s="48"/>
      <x:c r="S22" s="23" t="str">
        <x:v>DES-002 不是原文编号，改为第 8.3 节 Auto Reply、Loop、Bounce、Out-of-office 防循环要求。
原表状态：待完成。</x:v>
      </x:c>
      <x:c r="T22" s="34" t="str">
        <x:v>原文要求（功能拆分）</x:v>
      </x:c>
      <x:c r="U22" s="34" t="str">
        <x:v>原表陈述，未复核</x:v>
      </x:c>
      <x:c r="V22" s="34" t="str">
        <x:v>未完成端到端验收</x:v>
      </x:c>
      <x:c r="W22" s="51" t="str">
        <x:v>未确认</x:v>
      </x:c>
    </x:row>
    <x:row r="23" ht="52" customHeight="1">
      <x:c r="A23" s="35" t="str">
        <x:v>FUN-023</x:v>
      </x:c>
      <x:c r="B23" s="20" t="str">
        <x:v>接待与工单</x:v>
      </x:c>
      <x:c r="C23" s="20" t="str">
        <x:v>P1-P4优先级判定与复核</x:v>
      </x:c>
      <x:c r="D23" s="50" t="str">
        <x:v>部分完成</x:v>
      </x:c>
      <x:c r="E23" s="20" t="str">
        <x:v>原表记录（运行未复核）：已有优先级和紧急队列</x:v>
      </x:c>
      <x:c r="F23" s="20" t="str">
        <x:v>补影响范围、紧迫性、安全风险、替代方案判断及人工复核</x:v>
      </x:c>
      <x:c r="G23" s="35" t="str">
        <x:v>高</x:v>
      </x:c>
      <x:c r="H23" s="35" t="str">
        <x:v>补齐缺口并验收</x:v>
      </x:c>
      <x:c r="I23" s="35" t="str">
        <x:v>S4</x:v>
      </x:c>
      <x:c r="J23" s="48" t="n">
        <x:v>46335</x:v>
      </x:c>
      <x:c r="K23" s="48" t="n">
        <x:v>46346</x:v>
      </x:c>
      <x:c r="L23" s="49" t="n">
        <x:v>8</x:v>
      </x:c>
      <x:c r="M23" s="20" t="str">
        <x:v>后端A + 前端A + QA</x:v>
      </x:c>
      <x:c r="N23" s="20" t="str">
        <x:v>工单类型、优先级和责任人规则确认</x:v>
      </x:c>
      <x:c r="O23" s="20" t="str">
        <x:v>按业务规则得出优先级并可审计复核</x:v>
      </x:c>
      <x:c r="P23" s="20" t="str">
        <x:v>TKT-005</x:v>
      </x:c>
      <x:c r="Q23" s="23" t="str">
        <x:v>待分配</x:v>
      </x:c>
      <x:c r="R23" s="48"/>
      <x:c r="S23" s="23" t="str">
        <x:v>保留原功能拆分，补真实原文摘录、来源级别及证据范围；本次不新增验收通过结论。
原表状态：部分完成。</x:v>
      </x:c>
      <x:c r="T23" s="34" t="str">
        <x:v>原文要求（功能拆分）</x:v>
      </x:c>
      <x:c r="U23" s="34" t="str">
        <x:v>原表陈述，未复核</x:v>
      </x:c>
      <x:c r="V23" s="34" t="str">
        <x:v>未完成端到端验收</x:v>
      </x:c>
      <x:c r="W23" s="51" t="str">
        <x:v>未确认</x:v>
      </x:c>
    </x:row>
    <x:row r="24" ht="52" customHeight="1">
      <x:c r="A24" s="35" t="str">
        <x:v>FUN-024</x:v>
      </x:c>
      <x:c r="B24" s="20" t="str">
        <x:v>接待与工单</x:v>
      </x:c>
      <x:c r="C24" s="20" t="str">
        <x:v>持续保留行政负责人</x:v>
      </x:c>
      <x:c r="D24" s="50" t="str">
        <x:v>部分完成</x:v>
      </x:c>
      <x:c r="E24" s="20" t="str">
        <x:v>原表记录（运行未复核）：已有技术负责人及待派单状态</x:v>
      </x:c>
      <x:c r="F24" s="20" t="str">
        <x:v>单独维护行政负责人，换工程师或转专家时不丢失</x:v>
      </x:c>
      <x:c r="G24" s="35" t="str">
        <x:v>高</x:v>
      </x:c>
      <x:c r="H24" s="35" t="str">
        <x:v>补齐缺口并验收</x:v>
      </x:c>
      <x:c r="I24" s="35" t="str">
        <x:v>S4</x:v>
      </x:c>
      <x:c r="J24" s="48" t="n">
        <x:v>46335</x:v>
      </x:c>
      <x:c r="K24" s="48" t="n">
        <x:v>46346</x:v>
      </x:c>
      <x:c r="L24" s="49" t="n">
        <x:v>8</x:v>
      </x:c>
      <x:c r="M24" s="20" t="str">
        <x:v>后端A + 前端A + QA</x:v>
      </x:c>
      <x:c r="N24" s="20" t="str">
        <x:v>工单类型、优先级和责任人规则确认</x:v>
      </x:c>
      <x:c r="O24" s="20" t="str">
        <x:v>无技术接单人时仍有人负责跟进</x:v>
      </x:c>
      <x:c r="P24" s="20" t="str">
        <x:v>TKT-006</x:v>
      </x:c>
      <x:c r="Q24" s="23" t="str">
        <x:v>待分配</x:v>
      </x:c>
      <x:c r="R24" s="48"/>
      <x:c r="S24" s="23" t="str">
        <x:v>保留原功能拆分，补真实原文摘录、来源级别及证据范围；本次不新增验收通过结论。
原表状态：部分完成。</x:v>
      </x:c>
      <x:c r="T24" s="34" t="str">
        <x:v>原文要求（功能拆分）</x:v>
      </x:c>
      <x:c r="U24" s="34" t="str">
        <x:v>原表陈述，未复核</x:v>
      </x:c>
      <x:c r="V24" s="34" t="str">
        <x:v>未完成端到端验收</x:v>
      </x:c>
      <x:c r="W24" s="51" t="str">
        <x:v>未确认</x:v>
      </x:c>
    </x:row>
    <x:row r="25" ht="52" customHeight="1">
      <x:c r="A25" s="35" t="str">
        <x:v>FUN-007</x:v>
      </x:c>
      <x:c r="B25" s="20" t="str">
        <x:v>账号与权限</x:v>
      </x:c>
      <x:c r="C25" s="20" t="str">
        <x:v>应急管理员使用审批</x:v>
      </x:c>
      <x:c r="D25" s="50" t="str">
        <x:v>待完成</x:v>
      </x:c>
      <x:c r="E25" s="20" t="str">
        <x:v>原表记录（运行未复核）：未找到完整应急登录审批及事后复核流程</x:v>
      </x:c>
      <x:c r="F25" s="20" t="str">
        <x:v>补独立应急凭据、离线保管、强 MFA、最小权限、每次审批及事后审计。</x:v>
      </x:c>
      <x:c r="G25" s="35" t="str">
        <x:v>中</x:v>
      </x:c>
      <x:c r="H25" s="35" t="str">
        <x:v>新增功能并验收</x:v>
      </x:c>
      <x:c r="I25" s="35" t="str">
        <x:v>S4</x:v>
      </x:c>
      <x:c r="J25" s="48" t="n">
        <x:v>46335</x:v>
      </x:c>
      <x:c r="K25" s="48" t="n">
        <x:v>46346</x:v>
      </x:c>
      <x:c r="L25" s="49" t="n">
        <x:v>12</x:v>
      </x:c>
      <x:c r="M25" s="20" t="str">
        <x:v>后端A + 前端A + QA</x:v>
      </x:c>
      <x:c r="N25" s="20" t="str">
        <x:v>企业角色矩阵、统一身份源及MFA策略</x:v>
      </x:c>
      <x:c r="O25" s="20" t="str">
        <x:v>逐项查验独立凭据与保管责任、MFA、审批、限权和事后复核记录。</x:v>
      </x:c>
      <x:c r="P25" s="20" t="str">
        <x:v>IAM-005</x:v>
      </x:c>
      <x:c r="Q25" s="23" t="str">
        <x:v>待分配</x:v>
      </x:c>
      <x:c r="R25" s="48"/>
      <x:c r="S25" s="23" t="str">
        <x:v>原验收只检查批准人与复核，补回 IAM-005 的凭据、保管与 MFA 约束。
原表状态：待完成。</x:v>
      </x:c>
      <x:c r="T25" s="34" t="str">
        <x:v>原文要求（功能拆分）</x:v>
      </x:c>
      <x:c r="U25" s="34" t="str">
        <x:v>原表陈述，未复核</x:v>
      </x:c>
      <x:c r="V25" s="34" t="str">
        <x:v>未完成端到端验收</x:v>
      </x:c>
      <x:c r="W25" s="51" t="str">
        <x:v>未确认</x:v>
      </x:c>
    </x:row>
    <x:row r="26" ht="52" customHeight="1">
      <x:c r="A26" s="35" t="str">
        <x:v>FUN-085</x:v>
      </x:c>
      <x:c r="B26" s="20" t="str">
        <x:v>数据与记录</x:v>
      </x:c>
      <x:c r="C26" s="20" t="str">
        <x:v>操作记录和审计查询</x:v>
      </x:c>
      <x:c r="D26" s="50" t="str">
        <x:v>部分完成</x:v>
      </x:c>
      <x:c r="E26" s="20" t="str">
        <x:v>原表记录（运行未复核）：已有登录、权限、工单及业务审计</x:v>
      </x:c>
      <x:c r="F26" s="20" t="str">
        <x:v>补新功能的审批、导出、删除、时钟和QA记录</x:v>
      </x:c>
      <x:c r="G26" s="35" t="str">
        <x:v>中</x:v>
      </x:c>
      <x:c r="H26" s="35" t="str">
        <x:v>补齐缺口并验收</x:v>
      </x:c>
      <x:c r="I26" s="35" t="str">
        <x:v>S4</x:v>
      </x:c>
      <x:c r="J26" s="48" t="n">
        <x:v>46335</x:v>
      </x:c>
      <x:c r="K26" s="48" t="n">
        <x:v>46346</x:v>
      </x:c>
      <x:c r="L26" s="49" t="n">
        <x:v>8</x:v>
      </x:c>
      <x:c r="M26" s="20" t="str">
        <x:v>后端A + 前端A + QA</x:v>
      </x:c>
      <x:c r="N26" s="20" t="str">
        <x:v>留存期限、Legal Hold政策和退出包范围</x:v>
      </x:c>
      <x:c r="O26" s="20" t="str">
        <x:v>关键操作能定位操作人、时间、结果和批准依据</x:v>
      </x:c>
      <x:c r="P26" s="20" t="str">
        <x:v>SEC-004</x:v>
      </x:c>
      <x:c r="Q26" s="23" t="str">
        <x:v>待分配</x:v>
      </x:c>
      <x:c r="R26" s="48"/>
      <x:c r="S26" s="23" t="str">
        <x:v>保留原功能拆分，补真实原文摘录、来源级别及证据范围；本次不新增验收通过结论。
原表状态：部分完成。</x:v>
      </x:c>
      <x:c r="T26" s="34" t="str">
        <x:v>原文要求（功能拆分）</x:v>
      </x:c>
      <x:c r="U26" s="34" t="str">
        <x:v>原表陈述，未复核</x:v>
      </x:c>
      <x:c r="V26" s="34" t="str">
        <x:v>未完成端到端验收</x:v>
      </x:c>
      <x:c r="W26" s="51" t="str">
        <x:v>未确认</x:v>
      </x:c>
    </x:row>
    <x:row r="27" ht="52" customHeight="1">
      <x:c r="A27" s="35" t="str">
        <x:v>FUN-026</x:v>
      </x:c>
      <x:c r="B27" s="20" t="str">
        <x:v>接待与工单</x:v>
      </x:c>
      <x:c r="C27" s="20" t="str">
        <x:v>多个用户问题关联同一事件</x:v>
      </x:c>
      <x:c r="D27" s="50" t="str">
        <x:v>待完成</x:v>
      </x:c>
      <x:c r="E27" s="20" t="str">
        <x:v>原表记录（运行未复核）：未找到完整Case与Incident批量关联功能</x:v>
      </x:c>
      <x:c r="F27" s="20" t="str">
        <x:v>新增关联、解除、重复归并并保留各用户沟通</x:v>
      </x:c>
      <x:c r="G27" s="35" t="str">
        <x:v>高</x:v>
      </x:c>
      <x:c r="H27" s="35" t="str">
        <x:v>新增功能并验收</x:v>
      </x:c>
      <x:c r="I27" s="35" t="str">
        <x:v>S5</x:v>
      </x:c>
      <x:c r="J27" s="48" t="n">
        <x:v>46349</x:v>
      </x:c>
      <x:c r="K27" s="48" t="n">
        <x:v>46360</x:v>
      </x:c>
      <x:c r="L27" s="49" t="n">
        <x:v>20</x:v>
      </x:c>
      <x:c r="M27" s="20" t="str">
        <x:v>后端A + 前端A + QA</x:v>
      </x:c>
      <x:c r="N27" s="20" t="str">
        <x:v>工单类型、优先级和责任人规则确认</x:v>
      </x:c>
      <x:c r="O27" s="20" t="str">
        <x:v>多个用户Case跟踪同一故障且各自可更新</x:v>
      </x:c>
      <x:c r="P27" s="20" t="str">
        <x:v>TKT-011；TKT-003</x:v>
      </x:c>
      <x:c r="Q27" s="23" t="str">
        <x:v>待分配</x:v>
      </x:c>
      <x:c r="R27" s="48"/>
      <x:c r="S27" s="23" t="str">
        <x:v>保留原功能拆分，补真实原文摘录、来源级别及证据范围；本次不新增验收通过结论。
原表状态：待完成。</x:v>
      </x:c>
      <x:c r="T27" s="34" t="str">
        <x:v>原文要求（功能拆分）</x:v>
      </x:c>
      <x:c r="U27" s="34" t="str">
        <x:v>原表陈述，未复核</x:v>
      </x:c>
      <x:c r="V27" s="34" t="str">
        <x:v>未完成端到端验收</x:v>
      </x:c>
      <x:c r="W27" s="51" t="str">
        <x:v>未确认</x:v>
      </x:c>
    </x:row>
    <x:row r="28" ht="52" customHeight="1">
      <x:c r="A28" s="35" t="str">
        <x:v>FUN-039</x:v>
      </x:c>
      <x:c r="B28" s="20" t="str">
        <x:v>时限与提醒</x:v>
      </x:c>
      <x:c r="C28" s="20" t="str">
        <x:v>营业时间、节假日及时区</x:v>
      </x:c>
      <x:c r="D28" s="50" t="str">
        <x:v>部分完成</x:v>
      </x:c>
      <x:c r="E28" s="20" t="str">
        <x:v>已核查服务日历计算函数；当前预警/违约扫描按 CreatedAt 加分钟和暂停时长计算。</x:v>
      </x:c>
      <x:c r="F28" s="20" t="str">
        <x:v>将营业日历接入实际预警/违约链路；验证跨日、节假日、时区、DST，并统一 UTC。</x:v>
      </x:c>
      <x:c r="G28" s="35" t="str">
        <x:v>高</x:v>
      </x:c>
      <x:c r="H28" s="35" t="str">
        <x:v>补齐缺口并验收</x:v>
      </x:c>
      <x:c r="I28" s="35" t="str">
        <x:v>S5</x:v>
      </x:c>
      <x:c r="J28" s="48" t="n">
        <x:v>46349</x:v>
      </x:c>
      <x:c r="K28" s="48" t="n">
        <x:v>46360</x:v>
      </x:c>
      <x:c r="L28" s="49" t="n">
        <x:v>8</x:v>
      </x:c>
      <x:c r="M28" s="20" t="str">
        <x:v>后端A + 前端A + QA</x:v>
      </x:c>
      <x:c r="N28" s="20" t="str">
        <x:v>SLA目标、营业日历、节假日及暂停规则</x:v>
      </x:c>
      <x:c r="O28" s="20" t="str">
        <x:v>非服务时间按规则处理，跨时区结果一致</x:v>
      </x:c>
      <x:c r="P28" s="20" t="str">
        <x:v>SLA-003</x:v>
      </x:c>
      <x:c r="Q28" s="23" t="str">
        <x:v>待分配</x:v>
      </x:c>
      <x:c r="R28" s="48"/>
      <x:c r="S28" s="23" t="str">
        <x:v>有日历函数不等于实际计时链路已使用，必须验真实扫描结果。
原表状态：部分完成。</x:v>
      </x:c>
      <x:c r="T28" s="34" t="str">
        <x:v>原文要求（功能拆分）</x:v>
      </x:c>
      <x:c r="U28" s="34" t="str">
        <x:v>静态代码核查</x:v>
      </x:c>
      <x:c r="V28" s="34" t="str">
        <x:v>未完成端到端验收</x:v>
      </x:c>
      <x:c r="W28" s="51" t="str">
        <x:v>未确认</x:v>
      </x:c>
    </x:row>
    <x:row r="29" ht="52" customHeight="1">
      <x:c r="A29" s="35" t="str">
        <x:v>FUN-027</x:v>
      </x:c>
      <x:c r="B29" s="20" t="str">
        <x:v>接待与工单</x:v>
      </x:c>
      <x:c r="C29" s="20" t="str">
        <x:v>重大故障协调与沟通审批</x:v>
      </x:c>
      <x:c r="D29" s="50" t="str">
        <x:v>待完成</x:v>
      </x:c>
      <x:c r="E29" s="20" t="str">
        <x:v>原表记录（运行未复核）：未找到完整重大事件协调流程</x:v>
      </x:c>
      <x:c r="F29" s="20" t="str">
        <x:v>增加指挥负责人、影响范围、时间线、沟通审批及复盘行动</x:v>
      </x:c>
      <x:c r="G29" s="35" t="str">
        <x:v>中</x:v>
      </x:c>
      <x:c r="H29" s="35" t="str">
        <x:v>新增功能并验收</x:v>
      </x:c>
      <x:c r="I29" s="35" t="str">
        <x:v>S5</x:v>
      </x:c>
      <x:c r="J29" s="48" t="n">
        <x:v>46349</x:v>
      </x:c>
      <x:c r="K29" s="48" t="n">
        <x:v>46360</x:v>
      </x:c>
      <x:c r="L29" s="49" t="n">
        <x:v>20</x:v>
      </x:c>
      <x:c r="M29" s="20" t="str">
        <x:v>后端A + 前端A + QA</x:v>
      </x:c>
      <x:c r="N29" s="20" t="str">
        <x:v>工单类型、优先级和责任人规则确认</x:v>
      </x:c>
      <x:c r="O29" s="20" t="str">
        <x:v>重大事件从宣布到恢复和复盘有完整责任记录</x:v>
      </x:c>
      <x:c r="P29" s="20" t="str">
        <x:v>TKT-003；§9.3</x:v>
      </x:c>
      <x:c r="Q29" s="23" t="str">
        <x:v>待分配</x:v>
      </x:c>
      <x:c r="R29" s="48"/>
      <x:c r="S29" s="23" t="str">
        <x:v>以第 9.3 节替换虚构编号 DES-003，包含重大故障沟通审批和复盘职责。
原表状态：待完成。</x:v>
      </x:c>
      <x:c r="T29" s="34" t="str">
        <x:v>原文要求（功能拆分）</x:v>
      </x:c>
      <x:c r="U29" s="34" t="str">
        <x:v>原表陈述，未复核</x:v>
      </x:c>
      <x:c r="V29" s="34" t="str">
        <x:v>未完成端到端验收</x:v>
      </x:c>
      <x:c r="W29" s="51" t="str">
        <x:v>未确认</x:v>
      </x:c>
    </x:row>
    <x:row r="30" ht="52" customHeight="1">
      <x:c r="A30" s="35" t="str">
        <x:v>FUN-040</x:v>
      </x:c>
      <x:c r="B30" s="20" t="str">
        <x:v>时限与提醒</x:v>
      </x:c>
      <x:c r="C30" s="20" t="str">
        <x:v>端到端与己方责任双时钟</x:v>
      </x:c>
      <x:c r="D30" s="50" t="str">
        <x:v>待完成</x:v>
      </x:c>
      <x:c r="E30" s="20" t="str">
        <x:v>原表记录（运行未复核）：现有计时扣减暂停，未找到两个独立责任时钟</x:v>
      </x:c>
      <x:c r="F30" s="20" t="str">
        <x:v>新增总经历时间与本方可归责时间并列跟踪</x:v>
      </x:c>
      <x:c r="G30" s="35" t="str">
        <x:v>高</x:v>
      </x:c>
      <x:c r="H30" s="35" t="str">
        <x:v>新增功能并验收</x:v>
      </x:c>
      <x:c r="I30" s="35" t="str">
        <x:v>S6</x:v>
      </x:c>
      <x:c r="J30" s="48" t="n">
        <x:v>46363</x:v>
      </x:c>
      <x:c r="K30" s="48" t="n">
        <x:v>46374</x:v>
      </x:c>
      <x:c r="L30" s="49" t="n">
        <x:v>30</x:v>
      </x:c>
      <x:c r="M30" s="20" t="str">
        <x:v>后端A + 前端A + QA</x:v>
      </x:c>
      <x:c r="N30" s="20" t="str">
        <x:v>SLA目标、营业日历、节假日及暂停规则</x:v>
      </x:c>
      <x:c r="O30" s="20" t="str">
        <x:v>转外部专家时总时钟持续，己方时钟按约定变化</x:v>
      </x:c>
      <x:c r="P30" s="20" t="str">
        <x:v>SLA-001</x:v>
      </x:c>
      <x:c r="Q30" s="23" t="str">
        <x:v>待分配</x:v>
      </x:c>
      <x:c r="R30" s="48"/>
      <x:c r="S30" s="23" t="str">
        <x:v>保留原功能拆分，补真实原文摘录、来源级别及证据范围；本次不新增验收通过结论。
原表状态：待完成。</x:v>
      </x:c>
      <x:c r="T30" s="34" t="str">
        <x:v>原文要求（功能拆分）</x:v>
      </x:c>
      <x:c r="U30" s="34" t="str">
        <x:v>原表陈述，未复核</x:v>
      </x:c>
      <x:c r="V30" s="34" t="str">
        <x:v>未完成端到端验收</x:v>
      </x:c>
      <x:c r="W30" s="51" t="str">
        <x:v>未确认</x:v>
      </x:c>
    </x:row>
    <x:row r="31" ht="52" customHeight="1">
      <x:c r="A31" s="35" t="str">
        <x:v>FUN-041</x:v>
      </x:c>
      <x:c r="B31" s="20" t="str">
        <x:v>时限与提醒</x:v>
      </x:c>
      <x:c r="C31" s="20" t="str">
        <x:v>受控暂停与恢复</x:v>
      </x:c>
      <x:c r="D31" s="50" t="str">
        <x:v>部分完成</x:v>
      </x:c>
      <x:c r="E31" s="20" t="str">
        <x:v>原表记录（运行未复核）：有等待客户、等待配件、计划处理、Hold原因</x:v>
      </x:c>
      <x:c r="F31" s="20" t="str">
        <x:v>补文档责任状态和合法转移规则</x:v>
      </x:c>
      <x:c r="G31" s="35" t="str">
        <x:v>高</x:v>
      </x:c>
      <x:c r="H31" s="35" t="str">
        <x:v>补齐缺口并验收</x:v>
      </x:c>
      <x:c r="I31" s="35" t="str">
        <x:v>S6</x:v>
      </x:c>
      <x:c r="J31" s="48" t="n">
        <x:v>46363</x:v>
      </x:c>
      <x:c r="K31" s="48" t="n">
        <x:v>46374</x:v>
      </x:c>
      <x:c r="L31" s="49" t="n">
        <x:v>8</x:v>
      </x:c>
      <x:c r="M31" s="20" t="str">
        <x:v>后端A + 前端A + QA</x:v>
      </x:c>
      <x:c r="N31" s="20" t="str">
        <x:v>SLA目标、营业日历、节假日及暂停规则</x:v>
      </x:c>
      <x:c r="O31" s="20" t="str">
        <x:v>每次暂停恢复都能说明原因和责任方</x:v>
      </x:c>
      <x:c r="P31" s="20" t="str">
        <x:v>SLA-004</x:v>
      </x:c>
      <x:c r="Q31" s="23" t="str">
        <x:v>待分配</x:v>
      </x:c>
      <x:c r="R31" s="48"/>
      <x:c r="S31" s="23" t="str">
        <x:v>保留原功能拆分，补真实原文摘录、来源级别及证据范围；本次不新增验收通过结论。
原表状态：部分完成。</x:v>
      </x:c>
      <x:c r="T31" s="34" t="str">
        <x:v>原文要求（功能拆分）</x:v>
      </x:c>
      <x:c r="U31" s="34" t="str">
        <x:v>原表陈述，未复核</x:v>
      </x:c>
      <x:c r="V31" s="34" t="str">
        <x:v>未完成端到端验收</x:v>
      </x:c>
      <x:c r="W31" s="51" t="str">
        <x:v>未确认</x:v>
      </x:c>
    </x:row>
    <x:row r="32" ht="52" customHeight="1">
      <x:c r="A32" s="35" t="str">
        <x:v>FUN-042</x:v>
      </x:c>
      <x:c r="B32" s="20" t="str">
        <x:v>时限与提醒</x:v>
      </x:c>
      <x:c r="C32" s="20" t="str">
        <x:v>普通等待不暂停，批准暂停留证据</x:v>
      </x:c>
      <x:c r="D32" s="50" t="str">
        <x:v>部分完成</x:v>
      </x:c>
      <x:c r="E32" s="20" t="str">
        <x:v>原表记录（运行未复核）：有暂停原因校验，缺完整证据审批合同</x:v>
      </x:c>
      <x:c r="F32" s="20" t="str">
        <x:v>增加审批人、证据、Owner、生效时间，禁止普通等待自动免责</x:v>
      </x:c>
      <x:c r="G32" s="35" t="str">
        <x:v>高</x:v>
      </x:c>
      <x:c r="H32" s="35" t="str">
        <x:v>补齐缺口并验收</x:v>
      </x:c>
      <x:c r="I32" s="35" t="str">
        <x:v>S6</x:v>
      </x:c>
      <x:c r="J32" s="48" t="n">
        <x:v>46363</x:v>
      </x:c>
      <x:c r="K32" s="48" t="n">
        <x:v>46374</x:v>
      </x:c>
      <x:c r="L32" s="49" t="n">
        <x:v>8</x:v>
      </x:c>
      <x:c r="M32" s="20" t="str">
        <x:v>后端A + 前端A + QA</x:v>
      </x:c>
      <x:c r="N32" s="20" t="str">
        <x:v>SLA目标、营业日历、节假日及暂停规则</x:v>
      </x:c>
      <x:c r="O32" s="20" t="str">
        <x:v>缺批准证据不能暂停可归责时间</x:v>
      </x:c>
      <x:c r="P32" s="20" t="str">
        <x:v>SLA-006</x:v>
      </x:c>
      <x:c r="Q32" s="23" t="str">
        <x:v>待分配</x:v>
      </x:c>
      <x:c r="R32" s="48"/>
      <x:c r="S32" s="23" t="str">
        <x:v>保留原功能拆分，补真实原文摘录、来源级别及证据范围；本次不新增验收通过结论。
原表状态：部分完成。</x:v>
      </x:c>
      <x:c r="T32" s="34" t="str">
        <x:v>原文要求（功能拆分）</x:v>
      </x:c>
      <x:c r="U32" s="34" t="str">
        <x:v>原表陈述，未复核</x:v>
      </x:c>
      <x:c r="V32" s="34" t="str">
        <x:v>未完成端到端验收</x:v>
      </x:c>
      <x:c r="W32" s="51" t="str">
        <x:v>未确认</x:v>
      </x:c>
    </x:row>
    <x:row r="33" ht="52" customHeight="1">
      <x:c r="A33" s="35" t="str">
        <x:v>FUN-043</x:v>
      </x:c>
      <x:c r="B33" s="20" t="str">
        <x:v>时限与提醒</x:v>
      </x:c>
      <x:c r="C33" s="20" t="str">
        <x:v>补齐 SLA 六类目标与联合验收</x:v>
      </x:c>
      <x:c r="D33" s="50" t="str">
        <x:v>部分完成</x:v>
      </x:c>
      <x:c r="E33" s="20" t="str">
        <x:v>原表记录（运行未复核）：现有重点是首响、分配与解决</x:v>
      </x:c>
      <x:c r="F33" s="20" t="str">
        <x:v>补 Acknowledgement、Update Cadence、Escalation、Restore；与 FUN-037 的 First Response、Resolve 联合验证六类目标及报告。</x:v>
      </x:c>
      <x:c r="G33" s="35" t="str">
        <x:v>高</x:v>
      </x:c>
      <x:c r="H33" s="35" t="str">
        <x:v>补齐缺口并验收</x:v>
      </x:c>
      <x:c r="I33" s="35" t="str">
        <x:v>S7</x:v>
      </x:c>
      <x:c r="J33" s="48" t="n">
        <x:v>46377</x:v>
      </x:c>
      <x:c r="K33" s="48" t="n">
        <x:v>46388</x:v>
      </x:c>
      <x:c r="L33" s="49" t="n">
        <x:v>8</x:v>
      </x:c>
      <x:c r="M33" s="20" t="str">
        <x:v>后端A + 前端A + QA</x:v>
      </x:c>
      <x:c r="N33" s="20" t="str">
        <x:v>SLA目标、营业日历、节假日及暂停规则</x:v>
      </x:c>
      <x:c r="O33" s="20" t="str">
        <x:v>SLA-005 六类目标逐一有开始、停止/重置、超时、预警及报告证据；不以工程师接单替代受理确认。</x:v>
      </x:c>
      <x:c r="P33" s="20" t="str">
        <x:v>SLA-005</x:v>
      </x:c>
      <x:c r="Q33" s="23" t="str">
        <x:v>待分配</x:v>
      </x:c>
      <x:c r="R33" s="48"/>
      <x:c r="S33" s="23" t="str">
        <x:v>将 FUN-037 与 FUN-043 明确组成 SLA-005 的完整验收，防止拆分后重复计算或遗漏。
原表状态：部分完成。</x:v>
      </x:c>
      <x:c r="T33" s="34" t="str">
        <x:v>原文要求（功能拆分）</x:v>
      </x:c>
      <x:c r="U33" s="34" t="str">
        <x:v>静态代码核查</x:v>
      </x:c>
      <x:c r="V33" s="34" t="str">
        <x:v>未完成端到端验收</x:v>
      </x:c>
      <x:c r="W33" s="51" t="str">
        <x:v>未确认</x:v>
      </x:c>
    </x:row>
    <x:row r="34" ht="52" customHeight="1">
      <x:c r="A34" s="35" t="str">
        <x:v>FUN-044</x:v>
      </x:c>
      <x:c r="B34" s="20" t="str">
        <x:v>时限与提醒</x:v>
      </x:c>
      <x:c r="C34" s="20" t="str">
        <x:v>P1/P2即将违约自动升级</x:v>
      </x:c>
      <x:c r="D34" s="50" t="str">
        <x:v>部分完成</x:v>
      </x:c>
      <x:c r="E34" s="20" t="str">
        <x:v>原表记录（运行未复核）：有预警和升级服务</x:v>
      </x:c>
      <x:c r="F34" s="20" t="str">
        <x:v>按P1/P2验证升级收件人、时机及外部等待影响</x:v>
      </x:c>
      <x:c r="G34" s="35" t="str">
        <x:v>高</x:v>
      </x:c>
      <x:c r="H34" s="35" t="str">
        <x:v>补齐缺口并验收</x:v>
      </x:c>
      <x:c r="I34" s="35" t="str">
        <x:v>S7</x:v>
      </x:c>
      <x:c r="J34" s="48" t="n">
        <x:v>46377</x:v>
      </x:c>
      <x:c r="K34" s="48" t="n">
        <x:v>46388</x:v>
      </x:c>
      <x:c r="L34" s="49" t="n">
        <x:v>8</x:v>
      </x:c>
      <x:c r="M34" s="20" t="str">
        <x:v>后端A + 前端A + QA</x:v>
      </x:c>
      <x:c r="N34" s="20" t="str">
        <x:v>SLA目标、营业日历、节假日及暂停规则</x:v>
      </x:c>
      <x:c r="O34" s="20" t="str">
        <x:v>临近违约时准确通知并记录升级</x:v>
      </x:c>
      <x:c r="P34" s="20" t="str">
        <x:v>SLA-007</x:v>
      </x:c>
      <x:c r="Q34" s="23" t="str">
        <x:v>待分配</x:v>
      </x:c>
      <x:c r="R34" s="48"/>
      <x:c r="S34" s="23" t="str">
        <x:v>保留原功能拆分，补真实原文摘录、来源级别及证据范围；本次不新增验收通过结论。
原表状态：部分完成。</x:v>
      </x:c>
      <x:c r="T34" s="34" t="str">
        <x:v>原文要求（功能拆分）</x:v>
      </x:c>
      <x:c r="U34" s="34" t="str">
        <x:v>原表陈述，未复核</x:v>
      </x:c>
      <x:c r="V34" s="34" t="str">
        <x:v>未完成端到端验收</x:v>
      </x:c>
      <x:c r="W34" s="51" t="str">
        <x:v>未确认</x:v>
      </x:c>
    </x:row>
    <x:row r="35" ht="52" customHeight="1">
      <x:c r="A35" s="35" t="str">
        <x:v>FUN-048</x:v>
      </x:c>
      <x:c r="B35" s="20" t="str">
        <x:v>知识与机器人</x:v>
      </x:c>
      <x:c r="C35" s="20" t="str">
        <x:v>知识审批、有效期、撤回限制</x:v>
      </x:c>
      <x:c r="D35" s="50" t="str">
        <x:v>部分完成</x:v>
      </x:c>
      <x:c r="E35" s="20" t="str">
        <x:v>原表记录（运行未复核）：已有知识候选审核和索引发布门禁</x:v>
      </x:c>
      <x:c r="F35" s="20" t="str">
        <x:v>补文章审核人、有效期、撤回状态及标准答复限制</x:v>
      </x:c>
      <x:c r="G35" s="35" t="str">
        <x:v>高</x:v>
      </x:c>
      <x:c r="H35" s="35" t="str">
        <x:v>补齐缺口并验收</x:v>
      </x:c>
      <x:c r="I35" s="35" t="str">
        <x:v>S7</x:v>
      </x:c>
      <x:c r="J35" s="48" t="n">
        <x:v>46377</x:v>
      </x:c>
      <x:c r="K35" s="48" t="n">
        <x:v>46388</x:v>
      </x:c>
      <x:c r="L35" s="49" t="n">
        <x:v>8</x:v>
      </x:c>
      <x:c r="M35" s="20" t="str">
        <x:v>后端B + 前端B + QA</x:v>
      </x:c>
      <x:c r="N35" s="20" t="str">
        <x:v>获批知识、敏感动作清单和转人工阈值</x:v>
      </x:c>
      <x:c r="O35" s="20" t="str">
        <x:v>草稿/过期/撤回文章不能作为标准答复</x:v>
      </x:c>
      <x:c r="P35" s="20" t="str">
        <x:v>KB-002；KB-003</x:v>
      </x:c>
      <x:c r="Q35" s="23" t="str">
        <x:v>待分配</x:v>
      </x:c>
      <x:c r="R35" s="48"/>
      <x:c r="S35" s="23" t="str">
        <x:v>保留原功能拆分，补真实原文摘录、来源级别及证据范围；本次不新增验收通过结论。
原表状态：部分完成。</x:v>
      </x:c>
      <x:c r="T35" s="34" t="str">
        <x:v>原文要求（功能拆分）</x:v>
      </x:c>
      <x:c r="U35" s="34" t="str">
        <x:v>原表陈述，未复核</x:v>
      </x:c>
      <x:c r="V35" s="34" t="str">
        <x:v>未完成端到端验收</x:v>
      </x:c>
      <x:c r="W35" s="51" t="str">
        <x:v>未确认</x:v>
      </x:c>
    </x:row>
    <x:row r="36" ht="52" customHeight="1">
      <x:c r="A36" s="35" t="str">
        <x:v>FUN-049</x:v>
      </x:c>
      <x:c r="B36" s="20" t="str">
        <x:v>知识与机器人</x:v>
      </x:c>
      <x:c r="C36" s="20" t="str">
        <x:v>知识版本与工单使用效果</x:v>
      </x:c>
      <x:c r="D36" s="50" t="str">
        <x:v>部分完成</x:v>
      </x:c>
      <x:c r="E36" s="20" t="str">
        <x:v>原表记录（运行未复核）：有索引版本、检索日志和使用信息基础</x:v>
      </x:c>
      <x:c r="F36" s="20" t="str">
        <x:v>完善文章版本到工单使用及解决结果的关联</x:v>
      </x:c>
      <x:c r="G36" s="35" t="str">
        <x:v>中</x:v>
      </x:c>
      <x:c r="H36" s="35" t="str">
        <x:v>补齐缺口并验收</x:v>
      </x:c>
      <x:c r="I36" s="35" t="str">
        <x:v>S7</x:v>
      </x:c>
      <x:c r="J36" s="48" t="n">
        <x:v>46377</x:v>
      </x:c>
      <x:c r="K36" s="48" t="n">
        <x:v>46388</x:v>
      </x:c>
      <x:c r="L36" s="49" t="n">
        <x:v>8</x:v>
      </x:c>
      <x:c r="M36" s="20" t="str">
        <x:v>后端B + 前端B + QA</x:v>
      </x:c>
      <x:c r="N36" s="20" t="str">
        <x:v>获批知识、敏感动作清单和转人工阈值</x:v>
      </x:c>
      <x:c r="O36" s="20" t="str">
        <x:v>可查某版本用于哪些工单及解决效果</x:v>
      </x:c>
      <x:c r="P36" s="20" t="str">
        <x:v>KB-002</x:v>
      </x:c>
      <x:c r="Q36" s="23" t="str">
        <x:v>待分配</x:v>
      </x:c>
      <x:c r="R36" s="48"/>
      <x:c r="S36" s="23" t="str">
        <x:v>保留原功能拆分，补真实原文摘录、来源级别及证据范围；本次不新增验收通过结论。
原表状态：部分完成。</x:v>
      </x:c>
      <x:c r="T36" s="34" t="str">
        <x:v>原文要求（功能拆分）</x:v>
      </x:c>
      <x:c r="U36" s="34" t="str">
        <x:v>原表陈述，未复核</x:v>
      </x:c>
      <x:c r="V36" s="34" t="str">
        <x:v>未完成端到端验收</x:v>
      </x:c>
      <x:c r="W36" s="51" t="str">
        <x:v>未确认</x:v>
      </x:c>
    </x:row>
    <x:row r="37" ht="52" customHeight="1">
      <x:c r="A37" s="35" t="str">
        <x:v>FUN-045</x:v>
      </x:c>
      <x:c r="B37" s="20" t="str">
        <x:v>时限与提醒</x:v>
      </x:c>
      <x:c r="C37" s="20" t="str">
        <x:v>调整服务目标前模拟影响</x:v>
      </x:c>
      <x:c r="D37" s="50" t="str">
        <x:v>待完成</x:v>
      </x:c>
      <x:c r="E37" s="20" t="str">
        <x:v>原表记录（运行未复核）：未找到历史影响模拟功能</x:v>
      </x:c>
      <x:c r="F37" s="20" t="str">
        <x:v>新增用历史工单模拟新日历、优先级和目标</x:v>
      </x:c>
      <x:c r="G37" s="35" t="str">
        <x:v>低</x:v>
      </x:c>
      <x:c r="H37" s="35" t="str">
        <x:v>新增功能并验收</x:v>
      </x:c>
      <x:c r="I37" s="35" t="str">
        <x:v>S7</x:v>
      </x:c>
      <x:c r="J37" s="48" t="n">
        <x:v>46377</x:v>
      </x:c>
      <x:c r="K37" s="48" t="n">
        <x:v>46388</x:v>
      </x:c>
      <x:c r="L37" s="49" t="n">
        <x:v>10</x:v>
      </x:c>
      <x:c r="M37" s="20" t="str">
        <x:v>后端A + 前端A + QA</x:v>
      </x:c>
      <x:c r="N37" s="20" t="str">
        <x:v>SLA目标、营业日历、节假日及暂停规则</x:v>
      </x:c>
      <x:c r="O37" s="20" t="str">
        <x:v>修改前看到违约数及受影响工单变化</x:v>
      </x:c>
      <x:c r="P37" s="20" t="str">
        <x:v>SLA-008</x:v>
      </x:c>
      <x:c r="Q37" s="23" t="str">
        <x:v>待分配</x:v>
      </x:c>
      <x:c r="R37" s="48"/>
      <x:c r="S37" s="23" t="str">
        <x:v>保留原功能拆分，补真实原文摘录、来源级别及证据范围；本次不新增验收通过结论。
原表状态：待完成。</x:v>
      </x:c>
      <x:c r="T37" s="34" t="str">
        <x:v>原文要求（功能拆分）</x:v>
      </x:c>
      <x:c r="U37" s="34" t="str">
        <x:v>原表陈述，未复核</x:v>
      </x:c>
      <x:c r="V37" s="34" t="str">
        <x:v>未完成端到端验收</x:v>
      </x:c>
      <x:c r="W37" s="51" t="str">
        <x:v>未确认</x:v>
      </x:c>
    </x:row>
    <x:row r="38" ht="52" customHeight="1">
      <x:c r="A38" s="35" t="str">
        <x:v>FUN-050</x:v>
      </x:c>
      <x:c r="B38" s="20" t="str">
        <x:v>知识与机器人</x:v>
      </x:c>
      <x:c r="C38" s="20" t="str">
        <x:v>已知错误与临时解决办法</x:v>
      </x:c>
      <x:c r="D38" s="50" t="str">
        <x:v>待完成</x:v>
      </x:c>
      <x:c r="E38" s="20" t="str">
        <x:v>原表记录（运行未复核）：未找到完整Known Error业务对象</x:v>
      </x:c>
      <x:c r="F38" s="20" t="str">
        <x:v>关联组件、风险、适用范围、Workaround及永久修复负责人</x:v>
      </x:c>
      <x:c r="G38" s="35" t="str">
        <x:v>高</x:v>
      </x:c>
      <x:c r="H38" s="35" t="str">
        <x:v>新增功能并验收</x:v>
      </x:c>
      <x:c r="I38" s="35" t="str">
        <x:v>S8</x:v>
      </x:c>
      <x:c r="J38" s="48" t="n">
        <x:v>46391</x:v>
      </x:c>
      <x:c r="K38" s="48" t="n">
        <x:v>46402</x:v>
      </x:c>
      <x:c r="L38" s="49" t="n">
        <x:v>18</x:v>
      </x:c>
      <x:c r="M38" s="20" t="str">
        <x:v>后端B + 前端B + QA</x:v>
      </x:c>
      <x:c r="N38" s="20" t="str">
        <x:v>获批知识、敏感动作清单和转人工阈值</x:v>
      </x:c>
      <x:c r="O38" s="20" t="str">
        <x:v>客服能找到当前适用的已知问题处理办法</x:v>
      </x:c>
      <x:c r="P38" s="20" t="str">
        <x:v>KB-004</x:v>
      </x:c>
      <x:c r="Q38" s="23" t="str">
        <x:v>待分配</x:v>
      </x:c>
      <x:c r="R38" s="48"/>
      <x:c r="S38" s="23" t="str">
        <x:v>保留原功能拆分，补真实原文摘录、来源级别及证据范围；本次不新增验收通过结论。
原表状态：待完成。</x:v>
      </x:c>
      <x:c r="T38" s="34" t="str">
        <x:v>原文要求（功能拆分）</x:v>
      </x:c>
      <x:c r="U38" s="34" t="str">
        <x:v>原表陈述，未复核</x:v>
      </x:c>
      <x:c r="V38" s="34" t="str">
        <x:v>未完成端到端验收</x:v>
      </x:c>
      <x:c r="W38" s="51" t="str">
        <x:v>未确认</x:v>
      </x:c>
    </x:row>
    <x:row r="39" ht="52" customHeight="1">
      <x:c r="A39" s="35" t="str">
        <x:v>FUN-052</x:v>
      </x:c>
      <x:c r="B39" s="20" t="str">
        <x:v>知识与机器人</x:v>
      </x:c>
      <x:c r="C39" s="20" t="str">
        <x:v>意图分流与结构化信息采集</x:v>
      </x:c>
      <x:c r="D39" s="50" t="str">
        <x:v>部分完成</x:v>
      </x:c>
      <x:c r="E39" s="20" t="str">
        <x:v>原表记录（运行未复核）：已有可配置AI工作流和上下文节点</x:v>
      </x:c>
      <x:c r="F39" s="20" t="str">
        <x:v>按需求完善支持意图、必要信息及确定性分流</x:v>
      </x:c>
      <x:c r="G39" s="35" t="str">
        <x:v>高</x:v>
      </x:c>
      <x:c r="H39" s="35" t="str">
        <x:v>补齐缺口并验收</x:v>
      </x:c>
      <x:c r="I39" s="35" t="str">
        <x:v>S8</x:v>
      </x:c>
      <x:c r="J39" s="48" t="n">
        <x:v>46391</x:v>
      </x:c>
      <x:c r="K39" s="48" t="n">
        <x:v>46402</x:v>
      </x:c>
      <x:c r="L39" s="49" t="n">
        <x:v>8</x:v>
      </x:c>
      <x:c r="M39" s="20" t="str">
        <x:v>后端B + 前端B + QA</x:v>
      </x:c>
      <x:c r="N39" s="20" t="str">
        <x:v>获批知识、敏感动作清单和转人工阈值</x:v>
      </x:c>
      <x:c r="O39" s="20" t="str">
        <x:v>各意图收集正确字段并进入正确处理流程</x:v>
      </x:c>
      <x:c r="P39" s="20" t="str">
        <x:v>DCH-003</x:v>
      </x:c>
      <x:c r="Q39" s="23" t="str">
        <x:v>待分配</x:v>
      </x:c>
      <x:c r="R39" s="48"/>
      <x:c r="S39" s="23" t="str">
        <x:v>保留原功能拆分，补真实原文摘录、来源级别及证据范围；本次不新增验收通过结论。
原表状态：部分完成。</x:v>
      </x:c>
      <x:c r="T39" s="34" t="str">
        <x:v>原文要求（功能拆分）</x:v>
      </x:c>
      <x:c r="U39" s="34" t="str">
        <x:v>原表陈述，未复核</x:v>
      </x:c>
      <x:c r="V39" s="34" t="str">
        <x:v>未完成端到端验收</x:v>
      </x:c>
      <x:c r="W39" s="51" t="str">
        <x:v>未确认</x:v>
      </x:c>
    </x:row>
    <x:row r="40" ht="52" customHeight="1">
      <x:c r="A40" s="35" t="str">
        <x:v>FUN-053</x:v>
      </x:c>
      <x:c r="B40" s="20" t="str">
        <x:v>知识与机器人</x:v>
      </x:c>
      <x:c r="C40" s="20" t="str">
        <x:v>低置信度、连续失败强制转人工</x:v>
      </x:c>
      <x:c r="D40" s="50" t="str">
        <x:v>部分完成</x:v>
      </x:c>
      <x:c r="E40" s="20" t="str">
        <x:v>原表记录（运行未复核）：已有证据不足分支及人工介入功能</x:v>
      </x:c>
      <x:c r="F40" s="20" t="str">
        <x:v>补连续失败阈值、敏感意图和强制转人工验收</x:v>
      </x:c>
      <x:c r="G40" s="35" t="str">
        <x:v>高</x:v>
      </x:c>
      <x:c r="H40" s="35" t="str">
        <x:v>补齐缺口并验收</x:v>
      </x:c>
      <x:c r="I40" s="35" t="str">
        <x:v>S8</x:v>
      </x:c>
      <x:c r="J40" s="48" t="n">
        <x:v>46391</x:v>
      </x:c>
      <x:c r="K40" s="48" t="n">
        <x:v>46402</x:v>
      </x:c>
      <x:c r="L40" s="49" t="n">
        <x:v>8</x:v>
      </x:c>
      <x:c r="M40" s="20" t="str">
        <x:v>后端B + 前端B + QA</x:v>
      </x:c>
      <x:c r="N40" s="20" t="str">
        <x:v>获批知识、敏感动作清单和转人工阈值</x:v>
      </x:c>
      <x:c r="O40" s="20" t="str">
        <x:v>触发任一转人工条件时不继续无效问答</x:v>
      </x:c>
      <x:c r="P40" s="20" t="str">
        <x:v>DCH-004</x:v>
      </x:c>
      <x:c r="Q40" s="23" t="str">
        <x:v>待分配</x:v>
      </x:c>
      <x:c r="R40" s="48"/>
      <x:c r="S40" s="23" t="str">
        <x:v>保留原功能拆分，补真实原文摘录、来源级别及证据范围；本次不新增验收通过结论。
原表状态：部分完成。</x:v>
      </x:c>
      <x:c r="T40" s="34" t="str">
        <x:v>原文要求（功能拆分）</x:v>
      </x:c>
      <x:c r="U40" s="34" t="str">
        <x:v>原表陈述，未复核</x:v>
      </x:c>
      <x:c r="V40" s="34" t="str">
        <x:v>未完成端到端验收</x:v>
      </x:c>
      <x:c r="W40" s="51" t="str">
        <x:v>未确认</x:v>
      </x:c>
    </x:row>
    <x:row r="41" ht="52" customHeight="1">
      <x:c r="A41" s="35" t="str">
        <x:v>FUN-055</x:v>
      </x:c>
      <x:c r="B41" s="20" t="str">
        <x:v>知识与机器人</x:v>
      </x:c>
      <x:c r="C41" s="20" t="str">
        <x:v>明确机器人身份及退出自动回复</x:v>
      </x:c>
      <x:c r="D41" s="50" t="str">
        <x:v>部分完成</x:v>
      </x:c>
      <x:c r="E41" s="20" t="str">
        <x:v>原表记录（运行未复核）：用户可请求人工；当前接待名称可能含糊</x:v>
      </x:c>
      <x:c r="F41" s="20" t="str">
        <x:v>明确AI身份，记录退出/同意状态并停止自动交互</x:v>
      </x:c>
      <x:c r="G41" s="35" t="str">
        <x:v>高</x:v>
      </x:c>
      <x:c r="H41" s="35" t="str">
        <x:v>补齐缺口并验收</x:v>
      </x:c>
      <x:c r="I41" s="35" t="str">
        <x:v>S8</x:v>
      </x:c>
      <x:c r="J41" s="48" t="n">
        <x:v>46391</x:v>
      </x:c>
      <x:c r="K41" s="48" t="n">
        <x:v>46402</x:v>
      </x:c>
      <x:c r="L41" s="49" t="n">
        <x:v>8</x:v>
      </x:c>
      <x:c r="M41" s="20" t="str">
        <x:v>后端B + 前端B + QA</x:v>
      </x:c>
      <x:c r="N41" s="20" t="str">
        <x:v>获批知识、敏感动作清单和转人工阈值</x:v>
      </x:c>
      <x:c r="O41" s="20" t="str">
        <x:v>用户退出后由人工接管且不再收到自动回复</x:v>
      </x:c>
      <x:c r="P41" s="20" t="str">
        <x:v>DCH-007</x:v>
      </x:c>
      <x:c r="Q41" s="23" t="str">
        <x:v>待分配</x:v>
      </x:c>
      <x:c r="R41" s="48"/>
      <x:c r="S41" s="23" t="str">
        <x:v>保留原功能拆分，补真实原文摘录、来源级别及证据范围；本次不新增验收通过结论。
原表状态：部分完成。</x:v>
      </x:c>
      <x:c r="T41" s="34" t="str">
        <x:v>原文要求（功能拆分）</x:v>
      </x:c>
      <x:c r="U41" s="34" t="str">
        <x:v>原表陈述，未复核</x:v>
      </x:c>
      <x:c r="V41" s="34" t="str">
        <x:v>未完成端到端验收</x:v>
      </x:c>
      <x:c r="W41" s="51" t="str">
        <x:v>未确认</x:v>
      </x:c>
    </x:row>
    <x:row r="42" ht="52" customHeight="1">
      <x:c r="A42" s="35" t="str">
        <x:v>FUN-051</x:v>
      </x:c>
      <x:c r="B42" s="20" t="str">
        <x:v>知识与机器人</x:v>
      </x:c>
      <x:c r="C42" s="20" t="str">
        <x:v>从工单产生知识改进候选</x:v>
      </x:c>
      <x:c r="D42" s="50" t="str">
        <x:v>部分完成</x:v>
      </x:c>
      <x:c r="E42" s="20" t="str">
        <x:v>原表记录（运行未复核）：已有知识候选、评分和审核服务</x:v>
      </x:c>
      <x:c r="F42" s="20" t="str">
        <x:v>补QA、重开、升级和低解决率触发及处理结果</x:v>
      </x:c>
      <x:c r="G42" s="35" t="str">
        <x:v>中</x:v>
      </x:c>
      <x:c r="H42" s="35" t="str">
        <x:v>补齐缺口并验收</x:v>
      </x:c>
      <x:c r="I42" s="35" t="str">
        <x:v>S8</x:v>
      </x:c>
      <x:c r="J42" s="48" t="n">
        <x:v>46391</x:v>
      </x:c>
      <x:c r="K42" s="48" t="n">
        <x:v>46402</x:v>
      </x:c>
      <x:c r="L42" s="49" t="n">
        <x:v>8</x:v>
      </x:c>
      <x:c r="M42" s="20" t="str">
        <x:v>后端B + 前端B + QA</x:v>
      </x:c>
      <x:c r="N42" s="20" t="str">
        <x:v>获批知识、敏感动作清单和转人工阈值</x:v>
      </x:c>
      <x:c r="O42" s="20" t="str">
        <x:v>发现重复问题后产生去重候选并跟踪审批</x:v>
      </x:c>
      <x:c r="P42" s="20" t="str">
        <x:v>KB-005</x:v>
      </x:c>
      <x:c r="Q42" s="23" t="str">
        <x:v>待分配</x:v>
      </x:c>
      <x:c r="R42" s="48"/>
      <x:c r="S42" s="23" t="str">
        <x:v>保留原功能拆分，补真实原文摘录、来源级别及证据范围；本次不新增验收通过结论。
原表状态：部分完成。</x:v>
      </x:c>
      <x:c r="T42" s="34" t="str">
        <x:v>原文要求（功能拆分）</x:v>
      </x:c>
      <x:c r="U42" s="34" t="str">
        <x:v>原表陈述，未复核</x:v>
      </x:c>
      <x:c r="V42" s="34" t="str">
        <x:v>未完成端到端验收</x:v>
      </x:c>
      <x:c r="W42" s="51" t="str">
        <x:v>未确认</x:v>
      </x:c>
    </x:row>
    <x:row r="43" ht="52" customHeight="1">
      <x:c r="A43" s="35" t="str">
        <x:v>FUN-029</x:v>
      </x:c>
      <x:c r="B43" s="20" t="str">
        <x:v>专家与服务目录</x:v>
      </x:c>
      <x:c r="C43" s="20" t="str">
        <x:v>服务与组件支持目录</x:v>
      </x:c>
      <x:c r="D43" s="50" t="str">
        <x:v>部分完成</x:v>
      </x:c>
      <x:c r="E43" s="20" t="str">
        <x:v>原表记录（运行未复核）：已有产品/模块/支持组织可以复用</x:v>
      </x:c>
      <x:c r="F43" s="20" t="str">
        <x:v>补每个活动 Service/Component 的 Support Group、Owner、Coverage Calendar、Escalation Route、Active Period；不要只验产品目录。</x:v>
      </x:c>
      <x:c r="G43" s="35" t="str">
        <x:v>高</x:v>
      </x:c>
      <x:c r="H43" s="35" t="str">
        <x:v>补齐缺口并验收</x:v>
      </x:c>
      <x:c r="I43" s="35" t="str">
        <x:v>S9</x:v>
      </x:c>
      <x:c r="J43" s="48" t="n">
        <x:v>46405</x:v>
      </x:c>
      <x:c r="K43" s="48" t="n">
        <x:v>46416</x:v>
      </x:c>
      <x:c r="L43" s="49" t="n">
        <x:v>8</x:v>
      </x:c>
      <x:c r="M43" s="20" t="str">
        <x:v>后端B + 前端B + QA</x:v>
      </x:c>
      <x:c r="N43" s="20" t="str">
        <x:v>服务目录、专家联系人、合同及OLA资料</x:v>
      </x:c>
      <x:c r="O43" s="20" t="str">
        <x:v>每个活动组件都能找到有效支援路径</x:v>
      </x:c>
      <x:c r="P43" s="20" t="str">
        <x:v>REG-001</x:v>
      </x:c>
      <x:c r="Q43" s="23" t="str">
        <x:v>待分配</x:v>
      </x:c>
      <x:c r="R43" s="48"/>
      <x:c r="S43" s="23" t="str">
        <x:v>产品/模块模型可复用，但不自动等同于原文服务/组件 Registry。
原表状态：部分完成。</x:v>
      </x:c>
      <x:c r="T43" s="34" t="str">
        <x:v>原文要求（功能拆分）</x:v>
      </x:c>
      <x:c r="U43" s="34" t="str">
        <x:v>原表陈述，未复核</x:v>
      </x:c>
      <x:c r="V43" s="34" t="str">
        <x:v>未完成端到端验收</x:v>
      </x:c>
      <x:c r="W43" s="51" t="str">
        <x:v>未确认</x:v>
      </x:c>
    </x:row>
    <x:row r="44" ht="52" customHeight="1">
      <x:c r="A44" s="35" t="str">
        <x:v>FUN-030</x:v>
      </x:c>
      <x:c r="B44" s="20" t="str">
        <x:v>专家与服务目录</x:v>
      </x:c>
      <x:c r="C44" s="20" t="str">
        <x:v>外部专家、合同及OLA配置</x:v>
      </x:c>
      <x:c r="D44" s="50" t="str">
        <x:v>部分完成</x:v>
      </x:c>
      <x:c r="E44" s="20" t="str">
        <x:v>原表记录（运行未复核）：已有供应商及协作人员管理</x:v>
      </x:c>
      <x:c r="F44" s="20" t="str">
        <x:v>增加支援合同、响应约定、联系人和备用升级路线</x:v>
      </x:c>
      <x:c r="G44" s="35" t="str">
        <x:v>高</x:v>
      </x:c>
      <x:c r="H44" s="35" t="str">
        <x:v>补齐缺口并验收</x:v>
      </x:c>
      <x:c r="I44" s="35" t="str">
        <x:v>S9</x:v>
      </x:c>
      <x:c r="J44" s="48" t="n">
        <x:v>46405</x:v>
      </x:c>
      <x:c r="K44" s="48" t="n">
        <x:v>46416</x:v>
      </x:c>
      <x:c r="L44" s="49" t="n">
        <x:v>8</x:v>
      </x:c>
      <x:c r="M44" s="20" t="str">
        <x:v>后端B + 前端B + QA</x:v>
      </x:c>
      <x:c r="N44" s="20" t="str">
        <x:v>服务目录、专家联系人、合同及OLA资料</x:v>
      </x:c>
      <x:c r="O44" s="20" t="str">
        <x:v>外部组件可查专家、合同及承诺时限</x:v>
      </x:c>
      <x:c r="P44" s="20" t="str">
        <x:v>REG-002</x:v>
      </x:c>
      <x:c r="Q44" s="23" t="str">
        <x:v>待分配</x:v>
      </x:c>
      <x:c r="R44" s="48"/>
      <x:c r="S44" s="23" t="str">
        <x:v>保留原功能拆分，补真实原文摘录、来源级别及证据范围；本次不新增验收通过结论。
原表状态：部分完成。</x:v>
      </x:c>
      <x:c r="T44" s="34" t="str">
        <x:v>原文要求（功能拆分）</x:v>
      </x:c>
      <x:c r="U44" s="34" t="str">
        <x:v>原表陈述，未复核</x:v>
      </x:c>
      <x:c r="V44" s="34" t="str">
        <x:v>未完成端到端验收</x:v>
      </x:c>
      <x:c r="W44" s="51" t="str">
        <x:v>未确认</x:v>
      </x:c>
    </x:row>
    <x:row r="45" ht="52" customHeight="1">
      <x:c r="A45" s="35" t="str">
        <x:v>FUN-056</x:v>
      </x:c>
      <x:c r="B45" s="20" t="str">
        <x:v>知识与机器人</x:v>
      </x:c>
      <x:c r="C45" s="20" t="str">
        <x:v>阻止退款、账户等高风险自动动作</x:v>
      </x:c>
      <x:c r="D45" s="50" t="str">
        <x:v>部分完成</x:v>
      </x:c>
      <x:c r="E45" s="20" t="str">
        <x:v>原表记录（运行未复核）：有工作流工具权限和安全分支基础</x:v>
      </x:c>
      <x:c r="F45" s="20" t="str">
        <x:v>对交易、账户、退款、赔付、封禁和 Priority 最终裁决实施机器人自动执行禁令；人工处理走独立授权流程。</x:v>
      </x:c>
      <x:c r="G45" s="35" t="str">
        <x:v>高</x:v>
      </x:c>
      <x:c r="H45" s="35" t="str">
        <x:v>补齐缺口并验收</x:v>
      </x:c>
      <x:c r="I45" s="35" t="str">
        <x:v>S9</x:v>
      </x:c>
      <x:c r="J45" s="48" t="n">
        <x:v>46405</x:v>
      </x:c>
      <x:c r="K45" s="48" t="n">
        <x:v>46416</x:v>
      </x:c>
      <x:c r="L45" s="49" t="n">
        <x:v>8</x:v>
      </x:c>
      <x:c r="M45" s="20" t="str">
        <x:v>后端B + 前端B + QA</x:v>
      </x:c>
      <x:c r="N45" s="20" t="str">
        <x:v>获批知识、敏感动作清单和转人工阈值</x:v>
      </x:c>
      <x:c r="O45" s="20" t="str">
        <x:v>机器人无法自主执行禁止动作，包括绕过提示词或调用工具；人工业务审批不直接视为允许机器人代执行。</x:v>
      </x:c>
      <x:c r="P45" s="20" t="str">
        <x:v>DCH-003；DCH-004</x:v>
      </x:c>
      <x:c r="Q45" s="23" t="str">
        <x:v>待分配</x:v>
      </x:c>
      <x:c r="R45" s="48"/>
      <x:c r="S45" s="23" t="str">
        <x:v>原文是禁止 Bot 自主执行高风险业务，不能弱化为添加人工审批后即可自动执行。
原表状态：部分完成。</x:v>
      </x:c>
      <x:c r="T45" s="34" t="str">
        <x:v>原文要求（功能拆分）</x:v>
      </x:c>
      <x:c r="U45" s="34" t="str">
        <x:v>原表陈述，未复核</x:v>
      </x:c>
      <x:c r="V45" s="34" t="str">
        <x:v>未完成端到端验收</x:v>
      </x:c>
      <x:c r="W45" s="51" t="str">
        <x:v>未确认</x:v>
      </x:c>
    </x:row>
    <x:row r="46" ht="52" customHeight="1">
      <x:c r="A46" s="35" t="str">
        <x:v>FUN-034</x:v>
      </x:c>
      <x:c r="B46" s="20" t="str">
        <x:v>专家与服务目录</x:v>
      </x:c>
      <x:c r="C46" s="20" t="str">
        <x:v>目录生效版本与历史引用</x:v>
      </x:c>
      <x:c r="D46" s="50" t="str">
        <x:v>待完成</x:v>
      </x:c>
      <x:c r="E46" s="20" t="str">
        <x:v>原表记录（运行未复核）：未找到完整目录历史生效版本功能</x:v>
      </x:c>
      <x:c r="F46" s="20" t="str">
        <x:v>增加版本、有效期和工单当时所用版本记录</x:v>
      </x:c>
      <x:c r="G46" s="35" t="str">
        <x:v>中</x:v>
      </x:c>
      <x:c r="H46" s="35" t="str">
        <x:v>新增功能并验收</x:v>
      </x:c>
      <x:c r="I46" s="35" t="str">
        <x:v>S9</x:v>
      </x:c>
      <x:c r="J46" s="48" t="n">
        <x:v>46405</x:v>
      </x:c>
      <x:c r="K46" s="48" t="n">
        <x:v>46416</x:v>
      </x:c>
      <x:c r="L46" s="49" t="n">
        <x:v>12</x:v>
      </x:c>
      <x:c r="M46" s="20" t="str">
        <x:v>后端B + 前端B + QA</x:v>
      </x:c>
      <x:c r="N46" s="20" t="str">
        <x:v>服务目录、专家联系人、合同及OLA资料</x:v>
      </x:c>
      <x:c r="O46" s="20" t="str">
        <x:v>变更目录不改历史工单责任依据</x:v>
      </x:c>
      <x:c r="P46" s="20" t="str">
        <x:v>REG-003</x:v>
      </x:c>
      <x:c r="Q46" s="23" t="str">
        <x:v>待分配</x:v>
      </x:c>
      <x:c r="R46" s="48"/>
      <x:c r="S46" s="23" t="str">
        <x:v>保留原功能拆分，补真实原文摘录、来源级别及证据范围；本次不新增验收通过结论。
原表状态：待完成。</x:v>
      </x:c>
      <x:c r="T46" s="34" t="str">
        <x:v>原文要求（功能拆分）</x:v>
      </x:c>
      <x:c r="U46" s="34" t="str">
        <x:v>原表陈述，未复核</x:v>
      </x:c>
      <x:c r="V46" s="34" t="str">
        <x:v>未完成端到端验收</x:v>
      </x:c>
      <x:c r="W46" s="51" t="str">
        <x:v>未确认</x:v>
      </x:c>
    </x:row>
    <x:row r="47" ht="52" customHeight="1">
      <x:c r="A47" s="35" t="str">
        <x:v>FUN-061</x:v>
      </x:c>
      <x:c r="B47" s="20" t="str">
        <x:v>语言与通知</x:v>
      </x:c>
      <x:c r="C47" s="20" t="str">
        <x:v>英文界面及英文自动欢迎</x:v>
      </x:c>
      <x:c r="D47" s="50" t="str">
        <x:v>部分完成</x:v>
      </x:c>
      <x:c r="E47" s="20" t="str">
        <x:v>原表记录（运行未复核）：已有英文语言包和已验证英文欢迎；历史仍有中文残留</x:v>
      </x:c>
      <x:c r="F47" s="20" t="str">
        <x:v>清理全部页面、通知及生成文本的语言混用</x:v>
      </x:c>
      <x:c r="G47" s="35" t="str">
        <x:v>中</x:v>
      </x:c>
      <x:c r="H47" s="35" t="str">
        <x:v>补齐缺口并验收</x:v>
      </x:c>
      <x:c r="I47" s="35" t="str">
        <x:v>S9</x:v>
      </x:c>
      <x:c r="J47" s="48" t="n">
        <x:v>46405</x:v>
      </x:c>
      <x:c r="K47" s="48" t="n">
        <x:v>46416</x:v>
      </x:c>
      <x:c r="L47" s="49" t="n">
        <x:v>8</x:v>
      </x:c>
      <x:c r="M47" s="20" t="str">
        <x:v>前端B + 后端B + QA</x:v>
      </x:c>
      <x:c r="N47" s="20" t="str">
        <x:v>SMTP账号；阿语术语和RTL验收人员</x:v>
      </x:c>
      <x:c r="O47" s="20" t="str">
        <x:v>英语用户端到端操作无非预期中文</x:v>
      </x:c>
      <x:c r="P47" s="20" t="str">
        <x:v>§11.5；TKT-009；DCH-003</x:v>
      </x:c>
      <x:c r="Q47" s="23" t="str">
        <x:v>待分配</x:v>
      </x:c>
      <x:c r="R47" s="48"/>
      <x:c r="S47" s="23" t="str">
        <x:v>DES-005 不存在，替换为第 11.5 节；英文自动欢迎是通知实施细化，不是原文独立功能。
原表状态：部分完成。</x:v>
      </x:c>
      <x:c r="T47" s="34" t="str">
        <x:v>原文要求（功能拆分）</x:v>
      </x:c>
      <x:c r="U47" s="34" t="str">
        <x:v>原表陈述，未复核</x:v>
      </x:c>
      <x:c r="V47" s="34" t="str">
        <x:v>未完成端到端验收</x:v>
      </x:c>
      <x:c r="W47" s="51" t="str">
        <x:v>未确认</x:v>
      </x:c>
    </x:row>
    <x:row r="48" ht="52" customHeight="1">
      <x:c r="A48" s="35" t="str">
        <x:v>FUN-032</x:v>
      </x:c>
      <x:c r="B48" s="20" t="str">
        <x:v>专家与服务目录</x:v>
      </x:c>
      <x:c r="C48" s="20" t="str">
        <x:v>专家回交条件检查</x:v>
      </x:c>
      <x:c r="D48" s="50" t="str">
        <x:v>部分完成</x:v>
      </x:c>
      <x:c r="E48" s="20" t="str">
        <x:v>原表记录（运行未复核）：已有供应商处理与回交能力</x:v>
      </x:c>
      <x:c r="F48" s="20" t="str">
        <x:v>补配置化结论、恢复状态、风险和下一责任方门禁</x:v>
      </x:c>
      <x:c r="G48" s="35" t="str">
        <x:v>高</x:v>
      </x:c>
      <x:c r="H48" s="35" t="str">
        <x:v>补齐缺口并验收</x:v>
      </x:c>
      <x:c r="I48" s="35" t="str">
        <x:v>S10</x:v>
      </x:c>
      <x:c r="J48" s="48" t="n">
        <x:v>46419</x:v>
      </x:c>
      <x:c r="K48" s="48" t="n">
        <x:v>46430</x:v>
      </x:c>
      <x:c r="L48" s="49" t="n">
        <x:v>8</x:v>
      </x:c>
      <x:c r="M48" s="20" t="str">
        <x:v>后端B + 前端B + QA</x:v>
      </x:c>
      <x:c r="N48" s="20" t="str">
        <x:v>服务目录、专家联系人、合同及OLA资料</x:v>
      </x:c>
      <x:c r="O48" s="20" t="str">
        <x:v>回交不完整时继续等待并显示缺口</x:v>
      </x:c>
      <x:c r="P48" s="20" t="str">
        <x:v>REG-004；§9.2</x:v>
      </x:c>
      <x:c r="Q48" s="23" t="str">
        <x:v>待分配</x:v>
      </x:c>
      <x:c r="R48" s="48"/>
      <x:c r="S48" s="23" t="str">
        <x:v>第 9.2 节要求回交不完整保持依赖打开并记录缺口，满足后再恢复己方责任。
原表状态：部分完成。</x:v>
      </x:c>
      <x:c r="T48" s="34" t="str">
        <x:v>原文要求（功能拆分）</x:v>
      </x:c>
      <x:c r="U48" s="34" t="str">
        <x:v>原表陈述，未复核</x:v>
      </x:c>
      <x:c r="V48" s="34" t="str">
        <x:v>未完成端到端验收</x:v>
      </x:c>
      <x:c r="W48" s="51" t="str">
        <x:v>未确认</x:v>
      </x:c>
    </x:row>
    <x:row r="49" ht="52" customHeight="1">
      <x:c r="A49" s="35" t="str">
        <x:v>FUN-033</x:v>
      </x:c>
      <x:c r="B49" s="20" t="str">
        <x:v>专家与服务目录</x:v>
      </x:c>
      <x:c r="C49" s="20" t="str">
        <x:v>专家等待、催办与升级</x:v>
      </x:c>
      <x:c r="D49" s="50" t="str">
        <x:v>部分完成</x:v>
      </x:c>
      <x:c r="E49" s="20" t="str">
        <x:v>原表记录（运行未复核）：已有协作和超时相关代码</x:v>
      </x:c>
      <x:c r="F49" s="20" t="str">
        <x:v>完善独立依赖跟踪、催办、专家OLA与端到端影响显示</x:v>
      </x:c>
      <x:c r="G49" s="35" t="str">
        <x:v>高</x:v>
      </x:c>
      <x:c r="H49" s="35" t="str">
        <x:v>补齐缺口并验收</x:v>
      </x:c>
      <x:c r="I49" s="35" t="str">
        <x:v>S10</x:v>
      </x:c>
      <x:c r="J49" s="48" t="n">
        <x:v>46419</x:v>
      </x:c>
      <x:c r="K49" s="48" t="n">
        <x:v>46430</x:v>
      </x:c>
      <x:c r="L49" s="49" t="n">
        <x:v>8</x:v>
      </x:c>
      <x:c r="M49" s="20" t="str">
        <x:v>后端B + 前端B + QA</x:v>
      </x:c>
      <x:c r="N49" s="20" t="str">
        <x:v>服务目录、专家联系人、合同及OLA资料</x:v>
      </x:c>
      <x:c r="O49" s="20" t="str">
        <x:v>专家超时自动通知并保留催办记录</x:v>
      </x:c>
      <x:c r="P49" s="20" t="str">
        <x:v>REG-002；SLA-007；§8.5；§9.2</x:v>
      </x:c>
      <x:c r="Q49" s="23" t="str">
        <x:v>待分配</x:v>
      </x:c>
      <x:c r="R49" s="48"/>
      <x:c r="S49" s="23" t="str">
        <x:v>补独立依赖、OLA、跟进和升级依据，邀请超时并不等于完整专家等待计时。
原表状态：部分完成。</x:v>
      </x:c>
      <x:c r="T49" s="34" t="str">
        <x:v>原文要求（功能拆分）</x:v>
      </x:c>
      <x:c r="U49" s="34" t="str">
        <x:v>原表陈述，未复核</x:v>
      </x:c>
      <x:c r="V49" s="34" t="str">
        <x:v>未完成端到端验收</x:v>
      </x:c>
      <x:c r="W49" s="51" t="str">
        <x:v>未确认</x:v>
      </x:c>
    </x:row>
    <x:row r="50" ht="52" customHeight="1">
      <x:c r="A50" s="35" t="str">
        <x:v>FUN-035</x:v>
      </x:c>
      <x:c r="B50" s="20" t="str">
        <x:v>专家与服务目录</x:v>
      </x:c>
      <x:c r="C50" s="20" t="str">
        <x:v>资源不足时限制服务</x:v>
      </x:c>
      <x:c r="D50" s="50" t="str">
        <x:v>待完成</x:v>
      </x:c>
      <x:c r="E50" s="20" t="str">
        <x:v>原表记录（运行未复核）：资源配置失败可见，但不等于完整限制服务判断</x:v>
      </x:c>
      <x:c r="F50" s="20" t="str">
        <x:v>按专家、权限、知识、监控、OLA缺口给出原因</x:v>
      </x:c>
      <x:c r="G50" s="35" t="str">
        <x:v>高</x:v>
      </x:c>
      <x:c r="H50" s="35" t="str">
        <x:v>新增功能并验收</x:v>
      </x:c>
      <x:c r="I50" s="35" t="str">
        <x:v>S10</x:v>
      </x:c>
      <x:c r="J50" s="48" t="n">
        <x:v>46419</x:v>
      </x:c>
      <x:c r="K50" s="48" t="n">
        <x:v>46430</x:v>
      </x:c>
      <x:c r="L50" s="49" t="n">
        <x:v>12</x:v>
      </x:c>
      <x:c r="M50" s="20" t="str">
        <x:v>后端B + 前端B + QA</x:v>
      </x:c>
      <x:c r="N50" s="20" t="str">
        <x:v>服务目录、专家联系人、合同及OLA资料</x:v>
      </x:c>
      <x:c r="O50" s="20" t="str">
        <x:v>缺少支援条件时明确显示限制服务及补齐项</x:v>
      </x:c>
      <x:c r="P50" s="20" t="str">
        <x:v>REG-005</x:v>
      </x:c>
      <x:c r="Q50" s="23" t="str">
        <x:v>待分配</x:v>
      </x:c>
      <x:c r="R50" s="48"/>
      <x:c r="S50" s="23" t="str">
        <x:v>保留原功能拆分，补真实原文摘录、来源级别及证据范围；本次不新增验收通过结论。
原表状态：待完成。</x:v>
      </x:c>
      <x:c r="T50" s="34" t="str">
        <x:v>原文要求（功能拆分）</x:v>
      </x:c>
      <x:c r="U50" s="34" t="str">
        <x:v>原表陈述，未复核</x:v>
      </x:c>
      <x:c r="V50" s="34" t="str">
        <x:v>未完成端到端验收</x:v>
      </x:c>
      <x:c r="W50" s="51" t="str">
        <x:v>未确认</x:v>
      </x:c>
    </x:row>
    <x:row r="51" ht="52" customHeight="1">
      <x:c r="A51" s="35" t="str">
        <x:v>FUN-036</x:v>
      </x:c>
      <x:c r="B51" s="20" t="str">
        <x:v>专家与服务目录</x:v>
      </x:c>
      <x:c r="C51" s="20" t="str">
        <x:v>目录变更触发就绪复查</x:v>
      </x:c>
      <x:c r="D51" s="50" t="str">
        <x:v>待完成</x:v>
      </x:c>
      <x:c r="E51" s="20" t="str">
        <x:v>原表记录（运行未复核）：未找到业务就绪复查流程</x:v>
      </x:c>
      <x:c r="F51" s="20" t="str">
        <x:v>目录变化时通知受影响企业复核服务条件</x:v>
      </x:c>
      <x:c r="G51" s="35" t="str">
        <x:v>低</x:v>
      </x:c>
      <x:c r="H51" s="35" t="str">
        <x:v>新增功能并验收</x:v>
      </x:c>
      <x:c r="I51" s="35" t="str">
        <x:v>S10</x:v>
      </x:c>
      <x:c r="J51" s="48" t="n">
        <x:v>46419</x:v>
      </x:c>
      <x:c r="K51" s="48" t="n">
        <x:v>46430</x:v>
      </x:c>
      <x:c r="L51" s="49" t="n">
        <x:v>10</x:v>
      </x:c>
      <x:c r="M51" s="20" t="str">
        <x:v>后端B + 前端B + QA</x:v>
      </x:c>
      <x:c r="N51" s="20" t="str">
        <x:v>服务目录、专家联系人、合同及OLA资料</x:v>
      </x:c>
      <x:c r="O51" s="20" t="str">
        <x:v>更换专家或OLA后相关项目有待复核任务</x:v>
      </x:c>
      <x:c r="P51" s="20" t="str">
        <x:v>REG-006</x:v>
      </x:c>
      <x:c r="Q51" s="23" t="str">
        <x:v>待分配</x:v>
      </x:c>
      <x:c r="R51" s="48"/>
      <x:c r="S51" s="23" t="str">
        <x:v>保留原功能拆分，补真实原文摘录、来源级别及证据范围；本次不新增验收通过结论。
原表状态：待完成。</x:v>
      </x:c>
      <x:c r="T51" s="34" t="str">
        <x:v>原文要求（功能拆分）</x:v>
      </x:c>
      <x:c r="U51" s="34" t="str">
        <x:v>原表陈述，未复核</x:v>
      </x:c>
      <x:c r="V51" s="34" t="str">
        <x:v>未完成端到端验收</x:v>
      </x:c>
      <x:c r="W51" s="51" t="str">
        <x:v>未确认</x:v>
      </x:c>
    </x:row>
    <x:row r="52" ht="52" customHeight="1">
      <x:c r="A52" s="35" t="str">
        <x:v>FUN-062</x:v>
      </x:c>
      <x:c r="B52" s="20" t="str">
        <x:v>语言与通知</x:v>
      </x:c>
      <x:c r="C52" s="20" t="str">
        <x:v>阿拉伯语、RTL及语言选择</x:v>
      </x:c>
      <x:c r="D52" s="50" t="str">
        <x:v>待完成</x:v>
      </x:c>
      <x:c r="E52" s="20" t="str">
        <x:v>原表记录（运行未复核）：当前语言文件为中/英/西，未见阿语完整实现</x:v>
      </x:c>
      <x:c r="F52" s="20" t="str">
        <x:v>增加阿语、右到左布局、通知和导出支持</x:v>
      </x:c>
      <x:c r="G52" s="35" t="str">
        <x:v>高</x:v>
      </x:c>
      <x:c r="H52" s="35" t="str">
        <x:v>新增功能并验收</x:v>
      </x:c>
      <x:c r="I52" s="35" t="str">
        <x:v>S11</x:v>
      </x:c>
      <x:c r="J52" s="48" t="n">
        <x:v>46433</x:v>
      </x:c>
      <x:c r="K52" s="48" t="n">
        <x:v>46444</x:v>
      </x:c>
      <x:c r="L52" s="49" t="n">
        <x:v>30</x:v>
      </x:c>
      <x:c r="M52" s="20" t="str">
        <x:v>前端B + 后端B + QA</x:v>
      </x:c>
      <x:c r="N52" s="20" t="str">
        <x:v>SMTP账号；阿语术语和RTL验收人员</x:v>
      </x:c>
      <x:c r="O52" s="20" t="str">
        <x:v>阿语界面、机器人、表格和导出均可用</x:v>
      </x:c>
      <x:c r="P52" s="20" t="str">
        <x:v>DCH-003；§11.5</x:v>
      </x:c>
      <x:c r="Q52" s="23" t="str">
        <x:v>待分配</x:v>
      </x:c>
      <x:c r="R52" s="48"/>
      <x:c r="S52" s="23" t="str">
        <x:v>DES-005 替换为第 11.5 节，保留阿语 RTL、表格、通知与导出验收。
原表状态：待完成。</x:v>
      </x:c>
      <x:c r="T52" s="34" t="str">
        <x:v>原文要求（功能拆分）</x:v>
      </x:c>
      <x:c r="U52" s="34" t="str">
        <x:v>原表陈述，未复核</x:v>
      </x:c>
      <x:c r="V52" s="34" t="str">
        <x:v>未完成端到端验收</x:v>
      </x:c>
      <x:c r="W52" s="51" t="str">
        <x:v>未确认</x:v>
      </x:c>
    </x:row>
    <x:row r="53" ht="52" customHeight="1">
      <x:c r="A53" s="35" t="str">
        <x:v>FUN-057</x:v>
      </x:c>
      <x:c r="B53" s="20" t="str">
        <x:v>数字渠道</x:v>
      </x:c>
      <x:c r="C53" s="20" t="str">
        <x:v>WhatsApp客户接待</x:v>
      </x:c>
      <x:c r="D53" s="50" t="str">
        <x:v>待完成</x:v>
      </x:c>
      <x:c r="E53" s="20" t="str">
        <x:v>原表记录（运行未复核）：当前有自研会话及其他连接器，未见完整WhatsApp接待</x:v>
      </x:c>
      <x:c r="F53" s="20" t="str">
        <x:v>先确认 Chatwoot Community/官方 WhatsApp Cloud 架构；补独立项目实例、号码/模板、消息/媒体、范围批准和默认关闭门禁。</x:v>
      </x:c>
      <x:c r="G53" s="35" t="str">
        <x:v>中</x:v>
      </x:c>
      <x:c r="H53" s="35" t="str">
        <x:v>新增功能并验收</x:v>
      </x:c>
      <x:c r="I53" s="35" t="str">
        <x:v>S11</x:v>
      </x:c>
      <x:c r="J53" s="48" t="n">
        <x:v>46433</x:v>
      </x:c>
      <x:c r="K53" s="48" t="n">
        <x:v>46444</x:v>
      </x:c>
      <x:c r="L53" s="49" t="n">
        <x:v>25</x:v>
      </x:c>
      <x:c r="M53" s="20" t="str">
        <x:v>后端B + 前端B + QA</x:v>
      </x:c>
      <x:c r="N53" s="20" t="str">
        <x:v>WhatsApp Business账号、测试号码和模板审批</x:v>
      </x:c>
      <x:c r="O53" s="20" t="str">
        <x:v>测试号码能双向收发并关联正确客户</x:v>
      </x:c>
      <x:c r="P53" s="20" t="str">
        <x:v>DCH-001；TKT-001</x:v>
      </x:c>
      <x:c r="Q53" s="23" t="str">
        <x:v>待分配</x:v>
      </x:c>
      <x:c r="R53" s="48"/>
      <x:c r="S53" s="23" t="str">
        <x:v>补回原文指定的组件、每项目独立部署与启用批准，不能只验官方 API 收发。
原表状态：待完成。</x:v>
      </x:c>
      <x:c r="T53" s="34" t="str">
        <x:v>原文要求（功能拆分）</x:v>
      </x:c>
      <x:c r="U53" s="34" t="str">
        <x:v>原表陈述，未复核</x:v>
      </x:c>
      <x:c r="V53" s="34" t="str">
        <x:v>未完成端到端验收</x:v>
      </x:c>
      <x:c r="W53" s="51" t="str">
        <x:v>未确认</x:v>
      </x:c>
    </x:row>
    <x:row r="54" ht="52" customHeight="1">
      <x:c r="A54" s="35" t="str">
        <x:v>FUN-058</x:v>
      </x:c>
      <x:c r="B54" s="20" t="str">
        <x:v>数字渠道</x:v>
      </x:c>
      <x:c r="C54" s="20" t="str">
        <x:v>WhatsApp转人工和工单关联</x:v>
      </x:c>
      <x:c r="D54" s="50" t="str">
        <x:v>部分完成</x:v>
      </x:c>
      <x:c r="E54" s="20" t="str">
        <x:v>原表记录（运行未复核）：已有自研会话转工单基础</x:v>
      </x:c>
      <x:c r="F54" s="20" t="str">
        <x:v>接通WhatsApp上下文、附件引用、原因和同意状态</x:v>
      </x:c>
      <x:c r="G54" s="35" t="str">
        <x:v>中</x:v>
      </x:c>
      <x:c r="H54" s="35" t="str">
        <x:v>补齐缺口并验收</x:v>
      </x:c>
      <x:c r="I54" s="35" t="str">
        <x:v>S12</x:v>
      </x:c>
      <x:c r="J54" s="48" t="n">
        <x:v>46447</x:v>
      </x:c>
      <x:c r="K54" s="48" t="n">
        <x:v>46458</x:v>
      </x:c>
      <x:c r="L54" s="49" t="n">
        <x:v>8</x:v>
      </x:c>
      <x:c r="M54" s="20" t="str">
        <x:v>后端B + 前端B + QA</x:v>
      </x:c>
      <x:c r="N54" s="20" t="str">
        <x:v>WhatsApp Business账号、测试号码和模板审批</x:v>
      </x:c>
      <x:c r="O54" s="20" t="str">
        <x:v>人工可查看完整交接上下文且重复回调不重复建单</x:v>
      </x:c>
      <x:c r="P54" s="20" t="str">
        <x:v>DCH-005；DCH-006</x:v>
      </x:c>
      <x:c r="Q54" s="23" t="str">
        <x:v>待分配</x:v>
      </x:c>
      <x:c r="R54" s="48"/>
      <x:c r="S54" s="23" t="str">
        <x:v>保留原功能拆分，补真实原文摘录、来源级别及证据范围；本次不新增验收通过结论。
原表状态：部分完成。</x:v>
      </x:c>
      <x:c r="T54" s="34" t="str">
        <x:v>原文要求（功能拆分）</x:v>
      </x:c>
      <x:c r="U54" s="34" t="str">
        <x:v>原表陈述，未复核</x:v>
      </x:c>
      <x:c r="V54" s="34" t="str">
        <x:v>未完成端到端验收</x:v>
      </x:c>
      <x:c r="W54" s="51" t="str">
        <x:v>未确认</x:v>
      </x:c>
    </x:row>
    <x:row r="55" ht="52" customHeight="1">
      <x:c r="A55" s="35" t="str">
        <x:v>FUN-059</x:v>
      </x:c>
      <x:c r="B55" s="20" t="str">
        <x:v>数字渠道</x:v>
      </x:c>
      <x:c r="C55" s="20" t="str">
        <x:v>投递状态、重复消息与失败重试</x:v>
      </x:c>
      <x:c r="D55" s="50" t="str">
        <x:v>部分完成</x:v>
      </x:c>
      <x:c r="E55" s="20" t="str">
        <x:v>原表记录（运行未复核）：已有消息Outbox、重试和去重基础</x:v>
      </x:c>
      <x:c r="F55" s="20" t="str">
        <x:v>核验消息事实源和 Provider ID；补签名/Token、重放防护、幂等、回执、重试、死信、故障告警及人工/电话/邮件降级。</x:v>
      </x:c>
      <x:c r="G55" s="35" t="str">
        <x:v>中</x:v>
      </x:c>
      <x:c r="H55" s="35" t="str">
        <x:v>补齐缺口并验收</x:v>
      </x:c>
      <x:c r="I55" s="35" t="str">
        <x:v>S12</x:v>
      </x:c>
      <x:c r="J55" s="48" t="n">
        <x:v>46447</x:v>
      </x:c>
      <x:c r="K55" s="48" t="n">
        <x:v>46458</x:v>
      </x:c>
      <x:c r="L55" s="49" t="n">
        <x:v>8</x:v>
      </x:c>
      <x:c r="M55" s="20" t="str">
        <x:v>后端B + 前端B + QA</x:v>
      </x:c>
      <x:c r="N55" s="20" t="str">
        <x:v>WhatsApp Business账号、测试号码和模板审批</x:v>
      </x:c>
      <x:c r="O55" s="20" t="str">
        <x:v>断网恢复无丢单，重复消息只处理一次</x:v>
      </x:c>
      <x:c r="P55" s="20" t="str">
        <x:v>DCH-002；DCH-008</x:v>
      </x:c>
      <x:c r="Q55" s="23" t="str">
        <x:v>待分配</x:v>
      </x:c>
      <x:c r="R55" s="48"/>
      <x:c r="S55" s="23" t="str">
        <x:v>补回 DCH-002/008 的安全、死信和降级约束。
原表状态：部分完成。</x:v>
      </x:c>
      <x:c r="T55" s="34" t="str">
        <x:v>原文要求（功能拆分）</x:v>
      </x:c>
      <x:c r="U55" s="34" t="str">
        <x:v>原表陈述，未复核</x:v>
      </x:c>
      <x:c r="V55" s="34" t="str">
        <x:v>未完成端到端验收</x:v>
      </x:c>
      <x:c r="W55" s="51" t="str">
        <x:v>未确认</x:v>
      </x:c>
    </x:row>
    <x:row r="56" ht="52" customHeight="1">
      <x:c r="A56" s="35" t="str">
        <x:v>FUN-060</x:v>
      </x:c>
      <x:c r="B56" s="20" t="str">
        <x:v>数字渠道</x:v>
      </x:c>
      <x:c r="C56" s="20" t="str">
        <x:v>按企业开关数字渠道和Bot</x:v>
      </x:c>
      <x:c r="D56" s="50" t="str">
        <x:v>部分完成</x:v>
      </x:c>
      <x:c r="E56" s="20" t="str">
        <x:v>原表记录（运行未复核）：有企业AI能力和连接器启用配置</x:v>
      </x:c>
      <x:c r="F56" s="20" t="str">
        <x:v>WhatsApp/基础 Bot 按项目默认关闭；开放前须项目配置、商业责任与 Readiness 全部批准；关闭时禁用公网入口。</x:v>
      </x:c>
      <x:c r="G56" s="35" t="str">
        <x:v>中</x:v>
      </x:c>
      <x:c r="H56" s="35" t="str">
        <x:v>补齐缺口并验收</x:v>
      </x:c>
      <x:c r="I56" s="35" t="str">
        <x:v>S12</x:v>
      </x:c>
      <x:c r="J56" s="48" t="n">
        <x:v>46447</x:v>
      </x:c>
      <x:c r="K56" s="48" t="n">
        <x:v>46458</x:v>
      </x:c>
      <x:c r="L56" s="49" t="n">
        <x:v>8</x:v>
      </x:c>
      <x:c r="M56" s="20" t="str">
        <x:v>后端B + 前端B + QA</x:v>
      </x:c>
      <x:c r="N56" s="20" t="str">
        <x:v>WhatsApp Business账号、测试号码和模板审批</x:v>
      </x:c>
      <x:c r="O56" s="20" t="str">
        <x:v>关闭时不可接入，启用后才开放相应服务</x:v>
      </x:c>
      <x:c r="P56" s="20" t="str">
        <x:v>DCH-001；DCH-008；C-10</x:v>
      </x:c>
      <x:c r="Q56" s="23" t="str">
        <x:v>待分配</x:v>
      </x:c>
      <x:c r="R56" s="48"/>
      <x:c r="S56" s="23" t="str">
        <x:v>开关不是全部要求，需同时验证启用前置门禁。
原表状态：部分完成。</x:v>
      </x:c>
      <x:c r="T56" s="34" t="str">
        <x:v>原文要求（功能拆分）</x:v>
      </x:c>
      <x:c r="U56" s="34" t="str">
        <x:v>原表陈述，未复核</x:v>
      </x:c>
      <x:c r="V56" s="34" t="str">
        <x:v>未完成端到端验收</x:v>
      </x:c>
      <x:c r="W56" s="51" t="str">
        <x:v>未确认</x:v>
      </x:c>
    </x:row>
    <x:row r="57" ht="52" customHeight="1">
      <x:c r="A57" s="35" t="str">
        <x:v>FUN-064</x:v>
      </x:c>
      <x:c r="B57" s="20" t="str">
        <x:v>监控转工单</x:v>
      </x:c>
      <x:c r="C57" s="20" t="str">
        <x:v>检查服务可用性</x:v>
      </x:c>
      <x:c r="D57" s="50" t="str">
        <x:v>部分完成</x:v>
      </x:c>
      <x:c r="E57" s="20" t="str">
        <x:v>原表记录（运行未复核）：已有部分外部服务HTTP健康检测</x:v>
      </x:c>
      <x:c r="F57" s="20" t="str">
        <x:v>补HTTP/TCP/DNS与批准的模拟检查</x:v>
      </x:c>
      <x:c r="G57" s="35" t="str">
        <x:v>中</x:v>
      </x:c>
      <x:c r="H57" s="35" t="str">
        <x:v>补齐缺口并验收</x:v>
      </x:c>
      <x:c r="I57" s="35" t="str">
        <x:v>S12</x:v>
      </x:c>
      <x:c r="J57" s="48" t="n">
        <x:v>46447</x:v>
      </x:c>
      <x:c r="K57" s="48" t="n">
        <x:v>46458</x:v>
      </x:c>
      <x:c r="L57" s="49" t="n">
        <x:v>8</x:v>
      </x:c>
      <x:c r="M57" s="20" t="str">
        <x:v>后端A + 前端A + QA</x:v>
      </x:c>
      <x:c r="N57" s="20" t="str">
        <x:v>监控目标、测试端点、指纹及维护窗口规则</x:v>
      </x:c>
      <x:c r="O57" s="20" t="str">
        <x:v>指定服务故障可检测并显示原因</x:v>
      </x:c>
      <x:c r="P57" s="20" t="str">
        <x:v>MON-002</x:v>
      </x:c>
      <x:c r="Q57" s="23" t="str">
        <x:v>待分配</x:v>
      </x:c>
      <x:c r="R57" s="48"/>
      <x:c r="S57" s="23" t="str">
        <x:v>保留原功能拆分，补真实原文摘录、来源级别及证据范围；本次不新增验收通过结论。
原表状态：部分完成。</x:v>
      </x:c>
      <x:c r="T57" s="34" t="str">
        <x:v>原文要求（功能拆分）</x:v>
      </x:c>
      <x:c r="U57" s="34" t="str">
        <x:v>原表陈述，未复核</x:v>
      </x:c>
      <x:c r="V57" s="34" t="str">
        <x:v>未完成端到端验收</x:v>
      </x:c>
      <x:c r="W57" s="51" t="str">
        <x:v>未确认</x:v>
      </x:c>
    </x:row>
    <x:row r="58" ht="52" customHeight="1">
      <x:c r="A58" s="35" t="str">
        <x:v>FUN-065</x:v>
      </x:c>
      <x:c r="B58" s="20" t="str">
        <x:v>监控转工单</x:v>
      </x:c>
      <x:c r="C58" s="20" t="str">
        <x:v>告警创建或关联故障事件</x:v>
      </x:c>
      <x:c r="D58" s="50" t="str">
        <x:v>待完成</x:v>
      </x:c>
      <x:c r="E58" s="20" t="str">
        <x:v>原表记录（运行未复核）：未找到完整告警到Incident关联业务</x:v>
      </x:c>
      <x:c r="F58" s="20" t="str">
        <x:v>按服务/组件/指纹/时间窗归并建单</x:v>
      </x:c>
      <x:c r="G58" s="35" t="str">
        <x:v>高</x:v>
      </x:c>
      <x:c r="H58" s="35" t="str">
        <x:v>新增功能并验收</x:v>
      </x:c>
      <x:c r="I58" s="35" t="str">
        <x:v>S13</x:v>
      </x:c>
      <x:c r="J58" s="48" t="n">
        <x:v>46461</x:v>
      </x:c>
      <x:c r="K58" s="48" t="n">
        <x:v>46472</x:v>
      </x:c>
      <x:c r="L58" s="49" t="n">
        <x:v>24</x:v>
      </x:c>
      <x:c r="M58" s="20" t="str">
        <x:v>后端A + 前端A + QA</x:v>
      </x:c>
      <x:c r="N58" s="20" t="str">
        <x:v>监控目标、测试端点、指纹及维护窗口规则</x:v>
      </x:c>
      <x:c r="O58" s="20" t="str">
        <x:v>同故障告警关联同事件，不重复刷单</x:v>
      </x:c>
      <x:c r="P58" s="20" t="str">
        <x:v>MON-004</x:v>
      </x:c>
      <x:c r="Q58" s="23" t="str">
        <x:v>待分配</x:v>
      </x:c>
      <x:c r="R58" s="48"/>
      <x:c r="S58" s="23" t="str">
        <x:v>保留原功能拆分，补真实原文摘录、来源级别及证据范围；本次不新增验收通过结论。
原表状态：待完成。</x:v>
      </x:c>
      <x:c r="T58" s="34" t="str">
        <x:v>原文要求（功能拆分）</x:v>
      </x:c>
      <x:c r="U58" s="34" t="str">
        <x:v>原表陈述，未复核</x:v>
      </x:c>
      <x:c r="V58" s="34" t="str">
        <x:v>未完成端到端验收</x:v>
      </x:c>
      <x:c r="W58" s="51" t="str">
        <x:v>未确认</x:v>
      </x:c>
    </x:row>
    <x:row r="59" ht="52" customHeight="1">
      <x:c r="A59" s="35" t="str">
        <x:v>FUN-067</x:v>
      </x:c>
      <x:c r="B59" s="20" t="str">
        <x:v>监控转工单</x:v>
      </x:c>
      <x:c r="C59" s="20" t="str">
        <x:v>告警恢复不直接关闭客户工单</x:v>
      </x:c>
      <x:c r="D59" s="50" t="str">
        <x:v>待完成</x:v>
      </x:c>
      <x:c r="E59" s="20" t="str">
        <x:v>原表记录（运行未复核）：告警与用户Case完整关联流程尚缺</x:v>
      </x:c>
      <x:c r="F59" s="20" t="str">
        <x:v>告警恢复只更新事件，工单关闭须有解决证据</x:v>
      </x:c>
      <x:c r="G59" s="35" t="str">
        <x:v>高</x:v>
      </x:c>
      <x:c r="H59" s="35" t="str">
        <x:v>新增功能并验收</x:v>
      </x:c>
      <x:c r="I59" s="35" t="str">
        <x:v>S13</x:v>
      </x:c>
      <x:c r="J59" s="48" t="n">
        <x:v>46461</x:v>
      </x:c>
      <x:c r="K59" s="48" t="n">
        <x:v>46472</x:v>
      </x:c>
      <x:c r="L59" s="49" t="n">
        <x:v>12</x:v>
      </x:c>
      <x:c r="M59" s="20" t="str">
        <x:v>后端A + 前端A + QA</x:v>
      </x:c>
      <x:c r="N59" s="20" t="str">
        <x:v>监控目标、测试端点、指纹及维护窗口规则</x:v>
      </x:c>
      <x:c r="O59" s="20" t="str">
        <x:v>恢复告警到达后客户工单仍按确认流程关闭</x:v>
      </x:c>
      <x:c r="P59" s="20" t="str">
        <x:v>MON-006</x:v>
      </x:c>
      <x:c r="Q59" s="23" t="str">
        <x:v>待分配</x:v>
      </x:c>
      <x:c r="R59" s="48"/>
      <x:c r="S59" s="23" t="str">
        <x:v>保留原功能拆分，补真实原文摘录、来源级别及证据范围；本次不新增验收通过结论。
原表状态：待完成。</x:v>
      </x:c>
      <x:c r="T59" s="34" t="str">
        <x:v>原文要求（功能拆分）</x:v>
      </x:c>
      <x:c r="U59" s="34" t="str">
        <x:v>原表陈述，未复核</x:v>
      </x:c>
      <x:c r="V59" s="34" t="str">
        <x:v>未完成端到端验收</x:v>
      </x:c>
      <x:c r="W59" s="51" t="str">
        <x:v>未确认</x:v>
      </x:c>
    </x:row>
    <x:row r="60" ht="52" customHeight="1">
      <x:c r="A60" s="35" t="str">
        <x:v>FUN-066</x:v>
      </x:c>
      <x:c r="B60" s="20" t="str">
        <x:v>监控转工单</x:v>
      </x:c>
      <x:c r="C60" s="20" t="str">
        <x:v>告警归并、静默和维护窗口</x:v>
      </x:c>
      <x:c r="D60" s="50" t="str">
        <x:v>部分完成</x:v>
      </x:c>
      <x:c r="E60" s="20" t="str">
        <x:v>原表记录（运行未复核）：有告警规则和路由配置</x:v>
      </x:c>
      <x:c r="F60" s="20" t="str">
        <x:v>验证 Alertmanager 的分组、去重、抑制、静默、路由和重试；维护窗口保留原事件与原因。</x:v>
      </x:c>
      <x:c r="G60" s="35" t="str">
        <x:v>中</x:v>
      </x:c>
      <x:c r="H60" s="35" t="str">
        <x:v>补齐缺口并验收</x:v>
      </x:c>
      <x:c r="I60" s="35" t="str">
        <x:v>S13</x:v>
      </x:c>
      <x:c r="J60" s="48" t="n">
        <x:v>46461</x:v>
      </x:c>
      <x:c r="K60" s="48" t="n">
        <x:v>46472</x:v>
      </x:c>
      <x:c r="L60" s="49" t="n">
        <x:v>8</x:v>
      </x:c>
      <x:c r="M60" s="20" t="str">
        <x:v>后端A + 前端A + QA</x:v>
      </x:c>
      <x:c r="N60" s="20" t="str">
        <x:v>监控目标、测试端点、指纹及维护窗口规则</x:v>
      </x:c>
      <x:c r="O60" s="20" t="str">
        <x:v>维护期不误通知且原始告警可追查</x:v>
      </x:c>
      <x:c r="P60" s="20" t="str">
        <x:v>MON-003；MON-007</x:v>
      </x:c>
      <x:c r="Q60" s="23" t="str">
        <x:v>待分配</x:v>
      </x:c>
      <x:c r="R60" s="48"/>
      <x:c r="S60" s="23" t="str">
        <x:v>原验收偏重维护期静默，补回 MON-003 完整行为。
原表状态：部分完成。</x:v>
      </x:c>
      <x:c r="T60" s="34" t="str">
        <x:v>原文要求（功能拆分）</x:v>
      </x:c>
      <x:c r="U60" s="34" t="str">
        <x:v>原表陈述，未复核</x:v>
      </x:c>
      <x:c r="V60" s="34" t="str">
        <x:v>未完成端到端验收</x:v>
      </x:c>
      <x:c r="W60" s="51" t="str">
        <x:v>未确认</x:v>
      </x:c>
    </x:row>
    <x:row r="61" ht="52" customHeight="1">
      <x:c r="A61" s="35" t="str">
        <x:v>FUN-069</x:v>
      </x:c>
      <x:c r="B61" s="20" t="str">
        <x:v>质量抽检</x:v>
      </x:c>
      <x:c r="C61" s="20" t="str">
        <x:v>按规则抽取工单</x:v>
      </x:c>
      <x:c r="D61" s="50" t="str">
        <x:v>待完成</x:v>
      </x:c>
      <x:c r="E61" s="20" t="str">
        <x:v>原表记录（运行未复核）：现有运营健康分不是QA抽检</x:v>
      </x:c>
      <x:c r="F61" s="20" t="str">
        <x:v>新增随机、优先级、新员工、投诉、重开和风险抽样</x:v>
      </x:c>
      <x:c r="G61" s="35" t="str">
        <x:v>高</x:v>
      </x:c>
      <x:c r="H61" s="35" t="str">
        <x:v>新增功能并验收</x:v>
      </x:c>
      <x:c r="I61" s="35" t="str">
        <x:v>S14</x:v>
      </x:c>
      <x:c r="J61" s="48" t="n">
        <x:v>46475</x:v>
      </x:c>
      <x:c r="K61" s="48" t="n">
        <x:v>46486</x:v>
      </x:c>
      <x:c r="L61" s="49" t="n">
        <x:v>18</x:v>
      </x:c>
      <x:c r="M61" s="20" t="str">
        <x:v>后端B + 前端B + QA</x:v>
      </x:c>
      <x:c r="N61" s="20" t="str">
        <x:v>抽样规则、评分卡、缺陷码和申诉流程</x:v>
      </x:c>
      <x:c r="O61" s="20" t="str">
        <x:v>各规则能生成去重待评审工单</x:v>
      </x:c>
      <x:c r="P61" s="20" t="str">
        <x:v>QA-001</x:v>
      </x:c>
      <x:c r="Q61" s="23" t="str">
        <x:v>待分配</x:v>
      </x:c>
      <x:c r="R61" s="48"/>
      <x:c r="S61" s="23" t="str">
        <x:v>保留原功能拆分，补真实原文摘录、来源级别及证据范围；本次不新增验收通过结论。
原表状态：待完成。</x:v>
      </x:c>
      <x:c r="T61" s="34" t="str">
        <x:v>原文要求（功能拆分）</x:v>
      </x:c>
      <x:c r="U61" s="34" t="str">
        <x:v>原表陈述，未复核</x:v>
      </x:c>
      <x:c r="V61" s="34" t="str">
        <x:v>未完成端到端验收</x:v>
      </x:c>
      <x:c r="W61" s="51" t="str">
        <x:v>未确认</x:v>
      </x:c>
    </x:row>
    <x:row r="62" ht="52" customHeight="1">
      <x:c r="A62" s="35" t="str">
        <x:v>FUN-078</x:v>
      </x:c>
      <x:c r="B62" s="20" t="str">
        <x:v>统计与报告</x:v>
      </x:c>
      <x:c r="C62" s="20" t="str">
        <x:v>服务量及超量依据</x:v>
      </x:c>
      <x:c r="D62" s="50" t="str">
        <x:v>部分完成</x:v>
      </x:c>
      <x:c r="E62" s="20" t="str">
        <x:v>原表记录（运行未复核）：有工单统计与模型用量基础</x:v>
      </x:c>
      <x:c r="F62" s="20" t="str">
        <x:v>补按项目/渠道/优先级的 Ticket、Email、Manual Call、Alert-to-ticket、Active Agent、SLA Volume 和峰值超量证据；不引入价格/账单逻辑。</x:v>
      </x:c>
      <x:c r="G62" s="35" t="str">
        <x:v>高</x:v>
      </x:c>
      <x:c r="H62" s="35" t="str">
        <x:v>补齐缺口并验收</x:v>
      </x:c>
      <x:c r="I62" s="35" t="str">
        <x:v>S14</x:v>
      </x:c>
      <x:c r="J62" s="48" t="n">
        <x:v>46475</x:v>
      </x:c>
      <x:c r="K62" s="48" t="n">
        <x:v>46486</x:v>
      </x:c>
      <x:c r="L62" s="49" t="n">
        <x:v>8</x:v>
      </x:c>
      <x:c r="M62" s="20" t="str">
        <x:v>后端A + 前端A + QA</x:v>
      </x:c>
      <x:c r="N62" s="20" t="str">
        <x:v>月报模板、指标口径、审批人与交付名单</x:v>
      </x:c>
      <x:c r="O62" s="20" t="str">
        <x:v>按企业/渠道/优先级查数量、时长和依据</x:v>
      </x:c>
      <x:c r="P62" s="20" t="str">
        <x:v>RPT-004；RPT-005</x:v>
      </x:c>
      <x:c r="Q62" s="23" t="str">
        <x:v>待分配</x:v>
      </x:c>
      <x:c r="R62" s="48"/>
      <x:c r="S62" s="23" t="str">
        <x:v>补回 RPT-005 明确禁止计费逻辑的范围边界。
原表状态：部分完成。</x:v>
      </x:c>
      <x:c r="T62" s="34" t="str">
        <x:v>原文要求（功能拆分）</x:v>
      </x:c>
      <x:c r="U62" s="34" t="str">
        <x:v>原表陈述，未复核</x:v>
      </x:c>
      <x:c r="V62" s="34" t="str">
        <x:v>未完成端到端验收</x:v>
      </x:c>
      <x:c r="W62" s="51" t="str">
        <x:v>未确认</x:v>
      </x:c>
    </x:row>
    <x:row r="63" ht="52" customHeight="1">
      <x:c r="A63" s="35" t="str">
        <x:v>FUN-079</x:v>
      </x:c>
      <x:c r="B63" s="20" t="str">
        <x:v>统计与报告</x:v>
      </x:c>
      <x:c r="C63" s="20" t="str">
        <x:v>统计数字追溯与重新计算</x:v>
      </x:c>
      <x:c r="D63" s="50" t="str">
        <x:v>部分完成</x:v>
      </x:c>
      <x:c r="E63" s="20" t="str">
        <x:v>原表记录（运行未复核）：有服务结果事实和业务表统计</x:v>
      </x:c>
      <x:c r="F63" s="20" t="str">
        <x:v>按事件与已核验工单事实生成报告投影；支持源记录追溯、自动对账、差异修复审计及重建，不用看板快照作事实。</x:v>
      </x:c>
      <x:c r="G63" s="35" t="str">
        <x:v>高</x:v>
      </x:c>
      <x:c r="H63" s="35" t="str">
        <x:v>补齐缺口并验收</x:v>
      </x:c>
      <x:c r="I63" s="35" t="str">
        <x:v>S14</x:v>
      </x:c>
      <x:c r="J63" s="48" t="n">
        <x:v>46475</x:v>
      </x:c>
      <x:c r="K63" s="48" t="n">
        <x:v>46486</x:v>
      </x:c>
      <x:c r="L63" s="49" t="n">
        <x:v>8</x:v>
      </x:c>
      <x:c r="M63" s="20" t="str">
        <x:v>后端A + 前端A + QA</x:v>
      </x:c>
      <x:c r="N63" s="20" t="str">
        <x:v>月报模板、指标口径、审批人与交付名单</x:v>
      </x:c>
      <x:c r="O63" s="20" t="str">
        <x:v>点查总量能定位来源，重算同周期结果一致</x:v>
      </x:c>
      <x:c r="P63" s="20" t="str">
        <x:v>RPT-001；RPT-007；EVT-003；EVT-007</x:v>
      </x:c>
      <x:c r="Q63" s="23" t="str">
        <x:v>待分配</x:v>
      </x:c>
      <x:c r="R63" s="48"/>
      <x:c r="S63" s="23" t="str">
        <x:v>补事件重建和对账差异处理依据，但不代表全部 EVT 需求已覆盖。
原表状态：部分完成。</x:v>
      </x:c>
      <x:c r="T63" s="34" t="str">
        <x:v>原文要求（功能拆分）</x:v>
      </x:c>
      <x:c r="U63" s="34" t="str">
        <x:v>原表陈述，未复核</x:v>
      </x:c>
      <x:c r="V63" s="34" t="str">
        <x:v>未完成端到端验收</x:v>
      </x:c>
      <x:c r="W63" s="51" t="str">
        <x:v>未确认</x:v>
      </x:c>
    </x:row>
    <x:row r="64" ht="52" customHeight="1">
      <x:c r="A64" s="35" t="str">
        <x:v>FUN-068</x:v>
      </x:c>
      <x:c r="B64" s="20" t="str">
        <x:v>监控转工单</x:v>
      </x:c>
      <x:c r="C64" s="20" t="str">
        <x:v>监控覆盖缺口显示</x:v>
      </x:c>
      <x:c r="D64" s="50" t="str">
        <x:v>待完成</x:v>
      </x:c>
      <x:c r="E64" s="20" t="str">
        <x:v>原表记录（运行未复核）：现有服务健康卡不等于完整覆盖清单</x:v>
      </x:c>
      <x:c r="F64" s="20" t="str">
        <x:v>按服务标出无数据、无权限或未覆盖原因</x:v>
      </x:c>
      <x:c r="G64" s="35" t="str">
        <x:v>中</x:v>
      </x:c>
      <x:c r="H64" s="35" t="str">
        <x:v>新增功能并验收</x:v>
      </x:c>
      <x:c r="I64" s="35" t="str">
        <x:v>S14</x:v>
      </x:c>
      <x:c r="J64" s="48" t="n">
        <x:v>46475</x:v>
      </x:c>
      <x:c r="K64" s="48" t="n">
        <x:v>46486</x:v>
      </x:c>
      <x:c r="L64" s="49" t="n">
        <x:v>12</x:v>
      </x:c>
      <x:c r="M64" s="20" t="str">
        <x:v>后端A + 前端A + QA</x:v>
      </x:c>
      <x:c r="N64" s="20" t="str">
        <x:v>监控目标、测试端点、指纹及维护窗口规则</x:v>
      </x:c>
      <x:c r="O64" s="20" t="str">
        <x:v>管理员能区分服务正常与没有监控数据</x:v>
      </x:c>
      <x:c r="P64" s="20" t="str">
        <x:v>MON-005</x:v>
      </x:c>
      <x:c r="Q64" s="23" t="str">
        <x:v>待分配</x:v>
      </x:c>
      <x:c r="R64" s="48"/>
      <x:c r="S64" s="23" t="str">
        <x:v>保留原功能拆分，补真实原文摘录、来源级别及证据范围；本次不新增验收通过结论。
原表状态：待完成。</x:v>
      </x:c>
      <x:c r="T64" s="34" t="str">
        <x:v>原文要求（功能拆分）</x:v>
      </x:c>
      <x:c r="U64" s="34" t="str">
        <x:v>原表陈述，未复核</x:v>
      </x:c>
      <x:c r="V64" s="34" t="str">
        <x:v>未完成端到端验收</x:v>
      </x:c>
      <x:c r="W64" s="51" t="str">
        <x:v>未确认</x:v>
      </x:c>
    </x:row>
    <x:row r="65" ht="52" customHeight="1">
      <x:c r="A65" s="35" t="str">
        <x:v>FUN-070</x:v>
      </x:c>
      <x:c r="B65" s="20" t="str">
        <x:v>质量抽检</x:v>
      </x:c>
      <x:c r="C65" s="20" t="str">
        <x:v>版本化评分卡</x:v>
      </x:c>
      <x:c r="D65" s="50" t="str">
        <x:v>待完成</x:v>
      </x:c>
      <x:c r="E65" s="20" t="str">
        <x:v>原表记录（运行未复核）：未找到完整QA评分卡</x:v>
      </x:c>
      <x:c r="F65" s="20" t="str">
        <x:v>增加身份、信息、分类、优先级、沟通、隐私、路由、跟进、关闭评分</x:v>
      </x:c>
      <x:c r="G65" s="35" t="str">
        <x:v>高</x:v>
      </x:c>
      <x:c r="H65" s="35" t="str">
        <x:v>新增功能并验收</x:v>
      </x:c>
      <x:c r="I65" s="35" t="str">
        <x:v>S15</x:v>
      </x:c>
      <x:c r="J65" s="48" t="n">
        <x:v>46489</x:v>
      </x:c>
      <x:c r="K65" s="48" t="n">
        <x:v>46500</x:v>
      </x:c>
      <x:c r="L65" s="49" t="n">
        <x:v>22</x:v>
      </x:c>
      <x:c r="M65" s="20" t="str">
        <x:v>后端B + 前端B + QA</x:v>
      </x:c>
      <x:c r="N65" s="20" t="str">
        <x:v>抽样规则、评分卡、缺陷码和申诉流程</x:v>
      </x:c>
      <x:c r="O65" s="20" t="str">
        <x:v>评审记录保留当时评分卡版本</x:v>
      </x:c>
      <x:c r="P65" s="20" t="str">
        <x:v>QA-002</x:v>
      </x:c>
      <x:c r="Q65" s="23" t="str">
        <x:v>待分配</x:v>
      </x:c>
      <x:c r="R65" s="48"/>
      <x:c r="S65" s="23" t="str">
        <x:v>保留原功能拆分，补真实原文摘录、来源级别及证据范围；本次不新增验收通过结论。
原表状态：待完成。</x:v>
      </x:c>
      <x:c r="T65" s="34" t="str">
        <x:v>原文要求（功能拆分）</x:v>
      </x:c>
      <x:c r="U65" s="34" t="str">
        <x:v>原表陈述，未复核</x:v>
      </x:c>
      <x:c r="V65" s="34" t="str">
        <x:v>未完成端到端验收</x:v>
      </x:c>
      <x:c r="W65" s="51" t="str">
        <x:v>未确认</x:v>
      </x:c>
    </x:row>
    <x:row r="66" ht="52" customHeight="1">
      <x:c r="A66" s="35" t="str">
        <x:v>FUN-071</x:v>
      </x:c>
      <x:c r="B66" s="20" t="str">
        <x:v>质量抽检</x:v>
      </x:c>
      <x:c r="C66" s="20" t="str">
        <x:v>评分、缺陷与证据评审</x:v>
      </x:c>
      <x:c r="D66" s="50" t="str">
        <x:v>待完成</x:v>
      </x:c>
      <x:c r="E66" s="20" t="str">
        <x:v>原表记录（运行未复核）：未找到独立工单QA评审流程</x:v>
      </x:c>
      <x:c r="F66" s="20" t="str">
        <x:v>新增分数、缺陷码、证据、审核人和结果</x:v>
      </x:c>
      <x:c r="G66" s="35" t="str">
        <x:v>高</x:v>
      </x:c>
      <x:c r="H66" s="35" t="str">
        <x:v>新增功能并验收</x:v>
      </x:c>
      <x:c r="I66" s="35" t="str">
        <x:v>S15</x:v>
      </x:c>
      <x:c r="J66" s="48" t="n">
        <x:v>46489</x:v>
      </x:c>
      <x:c r="K66" s="48" t="n">
        <x:v>46500</x:v>
      </x:c>
      <x:c r="L66" s="49" t="n">
        <x:v>22</x:v>
      </x:c>
      <x:c r="M66" s="20" t="str">
        <x:v>后端B + 前端B + QA</x:v>
      </x:c>
      <x:c r="N66" s="20" t="str">
        <x:v>抽样规则、评分卡、缺陷码和申诉流程</x:v>
      </x:c>
      <x:c r="O66" s="20" t="str">
        <x:v>每个扣分项可查证据与审核人</x:v>
      </x:c>
      <x:c r="P66" s="20" t="str">
        <x:v>QA-003</x:v>
      </x:c>
      <x:c r="Q66" s="23" t="str">
        <x:v>待分配</x:v>
      </x:c>
      <x:c r="R66" s="48"/>
      <x:c r="S66" s="23" t="str">
        <x:v>保留原功能拆分，补真实原文摘录、来源级别及证据范围；本次不新增验收通过结论。
原表状态：待完成。</x:v>
      </x:c>
      <x:c r="T66" s="34" t="str">
        <x:v>原文要求（功能拆分）</x:v>
      </x:c>
      <x:c r="U66" s="34" t="str">
        <x:v>原表陈述，未复核</x:v>
      </x:c>
      <x:c r="V66" s="34" t="str">
        <x:v>未完成端到端验收</x:v>
      </x:c>
      <x:c r="W66" s="51" t="str">
        <x:v>未确认</x:v>
      </x:c>
    </x:row>
    <x:row r="67" ht="52" customHeight="1">
      <x:c r="A67" s="35" t="str">
        <x:v>FUN-072</x:v>
      </x:c>
      <x:c r="B67" s="20" t="str">
        <x:v>质量抽检</x:v>
      </x:c>
      <x:c r="C67" s="20" t="str">
        <x:v>争议、辅导和整改跟踪</x:v>
      </x:c>
      <x:c r="D67" s="50" t="str">
        <x:v>待完成</x:v>
      </x:c>
      <x:c r="E67" s="20" t="str">
        <x:v>原表记录（运行未复核）：未找到申诉辅导闭环</x:v>
      </x:c>
      <x:c r="F67" s="20" t="str">
        <x:v>增加争议处理、辅导任务、整改负责人和到期日</x:v>
      </x:c>
      <x:c r="G67" s="35" t="str">
        <x:v>中</x:v>
      </x:c>
      <x:c r="H67" s="35" t="str">
        <x:v>新增功能并验收</x:v>
      </x:c>
      <x:c r="I67" s="35" t="str">
        <x:v>S16</x:v>
      </x:c>
      <x:c r="J67" s="48" t="n">
        <x:v>46503</x:v>
      </x:c>
      <x:c r="K67" s="48" t="n">
        <x:v>46514</x:v>
      </x:c>
      <x:c r="L67" s="49" t="n">
        <x:v>12</x:v>
      </x:c>
      <x:c r="M67" s="20" t="str">
        <x:v>后端B + 前端B + QA</x:v>
      </x:c>
      <x:c r="N67" s="20" t="str">
        <x:v>抽样规则、评分卡、缺陷码和申诉流程</x:v>
      </x:c>
      <x:c r="O67" s="20" t="str">
        <x:v>评审结果可申诉并跟踪整改关闭</x:v>
      </x:c>
      <x:c r="P67" s="20" t="str">
        <x:v>QA-003</x:v>
      </x:c>
      <x:c r="Q67" s="23" t="str">
        <x:v>待分配</x:v>
      </x:c>
      <x:c r="R67" s="48"/>
      <x:c r="S67" s="23" t="str">
        <x:v>保留原功能拆分，补真实原文摘录、来源级别及证据范围；本次不新增验收通过结论。
原表状态：待完成。</x:v>
      </x:c>
      <x:c r="T67" s="34" t="str">
        <x:v>原文要求（功能拆分）</x:v>
      </x:c>
      <x:c r="U67" s="34" t="str">
        <x:v>原表陈述，未复核</x:v>
      </x:c>
      <x:c r="V67" s="34" t="str">
        <x:v>未完成端到端验收</x:v>
      </x:c>
      <x:c r="W67" s="51" t="str">
        <x:v>未确认</x:v>
      </x:c>
    </x:row>
    <x:row r="68" ht="52" customHeight="1">
      <x:c r="A68" s="35" t="str">
        <x:v>FUN-073</x:v>
      </x:c>
      <x:c r="B68" s="20" t="str">
        <x:v>质量抽检</x:v>
      </x:c>
      <x:c r="C68" s="20" t="str">
        <x:v>企业、团队、人员等质量分析</x:v>
      </x:c>
      <x:c r="D68" s="50" t="str">
        <x:v>待完成</x:v>
      </x:c>
      <x:c r="E68" s="20" t="str">
        <x:v>原表记录（运行未复核）：当前团队服务指标不能替代QA评分分析</x:v>
      </x:c>
      <x:c r="F68" s="20" t="str">
        <x:v>增加QA多维筛选及人员数据权限</x:v>
      </x:c>
      <x:c r="G68" s="35" t="str">
        <x:v>中</x:v>
      </x:c>
      <x:c r="H68" s="35" t="str">
        <x:v>新增功能并验收</x:v>
      </x:c>
      <x:c r="I68" s="35" t="str">
        <x:v>S16</x:v>
      </x:c>
      <x:c r="J68" s="48" t="n">
        <x:v>46503</x:v>
      </x:c>
      <x:c r="K68" s="48" t="n">
        <x:v>46514</x:v>
      </x:c>
      <x:c r="L68" s="49" t="n">
        <x:v>12</x:v>
      </x:c>
      <x:c r="M68" s="20" t="str">
        <x:v>后端B + 前端B + QA</x:v>
      </x:c>
      <x:c r="N68" s="20" t="str">
        <x:v>抽样规则、评分卡、缺陷码和申诉流程</x:v>
      </x:c>
      <x:c r="O68" s="20" t="str">
        <x:v>按企业/团队/人员/渠道/周期查看授权结果</x:v>
      </x:c>
      <x:c r="P68" s="20" t="str">
        <x:v>QA-004</x:v>
      </x:c>
      <x:c r="Q68" s="23" t="str">
        <x:v>待分配</x:v>
      </x:c>
      <x:c r="R68" s="48"/>
      <x:c r="S68" s="23" t="str">
        <x:v>保留原功能拆分，补真实原文摘录、来源级别及证据范围；本次不新增验收通过结论。
原表状态：待完成。</x:v>
      </x:c>
      <x:c r="T68" s="34" t="str">
        <x:v>原文要求（功能拆分）</x:v>
      </x:c>
      <x:c r="U68" s="34" t="str">
        <x:v>原表陈述，未复核</x:v>
      </x:c>
      <x:c r="V68" s="34" t="str">
        <x:v>未完成端到端验收</x:v>
      </x:c>
      <x:c r="W68" s="51" t="str">
        <x:v>未确认</x:v>
      </x:c>
    </x:row>
    <x:row r="69" ht="52" customHeight="1">
      <x:c r="A69" s="35" t="str">
        <x:v>FUN-074</x:v>
      </x:c>
      <x:c r="B69" s="20" t="str">
        <x:v>质量抽检</x:v>
      </x:c>
      <x:c r="C69" s="20" t="str">
        <x:v>严重安全缺陷转调查</x:v>
      </x:c>
      <x:c r="D69" s="50" t="str">
        <x:v>待完成</x:v>
      </x:c>
      <x:c r="E69" s="20" t="str">
        <x:v>原表记录（运行未复核）：未找到QA触发独立调查流程</x:v>
      </x:c>
      <x:c r="F69" s="20" t="str">
        <x:v>严重隐私或安全缺陷自动生成调查任务</x:v>
      </x:c>
      <x:c r="G69" s="35" t="str">
        <x:v>中</x:v>
      </x:c>
      <x:c r="H69" s="35" t="str">
        <x:v>新增功能并验收</x:v>
      </x:c>
      <x:c r="I69" s="35" t="str">
        <x:v>S16</x:v>
      </x:c>
      <x:c r="J69" s="48" t="n">
        <x:v>46503</x:v>
      </x:c>
      <x:c r="K69" s="48" t="n">
        <x:v>46514</x:v>
      </x:c>
      <x:c r="L69" s="49" t="n">
        <x:v>12</x:v>
      </x:c>
      <x:c r="M69" s="20" t="str">
        <x:v>后端B + 前端B + QA</x:v>
      </x:c>
      <x:c r="N69" s="20" t="str">
        <x:v>抽样规则、评分卡、缺陷码和申诉流程</x:v>
      </x:c>
      <x:c r="O69" s="20" t="str">
        <x:v>触发后有独立负责人、证据和处理记录</x:v>
      </x:c>
      <x:c r="P69" s="20" t="str">
        <x:v>QA-006</x:v>
      </x:c>
      <x:c r="Q69" s="23" t="str">
        <x:v>待分配</x:v>
      </x:c>
      <x:c r="R69" s="48"/>
      <x:c r="S69" s="23" t="str">
        <x:v>QA-006 原文级别为 SHOULD，不因本表排期优先级改写为 MUST。
原表状态：待完成。</x:v>
      </x:c>
      <x:c r="T69" s="34" t="str">
        <x:v>原文要求（功能拆分）</x:v>
      </x:c>
      <x:c r="U69" s="34" t="str">
        <x:v>原表陈述，未复核</x:v>
      </x:c>
      <x:c r="V69" s="34" t="str">
        <x:v>未完成端到端验收</x:v>
      </x:c>
      <x:c r="W69" s="51" t="str">
        <x:v>未确认</x:v>
      </x:c>
    </x:row>
    <x:row r="70" ht="52" customHeight="1">
      <x:c r="A70" s="35" t="str">
        <x:v>FUN-076</x:v>
      </x:c>
      <x:c r="B70" s="20" t="str">
        <x:v>统计与报告</x:v>
      </x:c>
      <x:c r="C70" s="20" t="str">
        <x:v>完整月度服务报告</x:v>
      </x:c>
      <x:c r="D70" s="50" t="str">
        <x:v>部分完成</x:v>
      </x:c>
      <x:c r="E70" s="20" t="str">
        <x:v>原表记录（运行未复核）：有工单、团队、供应商和趋势统计</x:v>
      </x:c>
      <x:c r="F70" s="20" t="str">
        <x:v>补需求、渠道、优先级、时限、依赖、积压、QA、容量和行动项</x:v>
      </x:c>
      <x:c r="G70" s="35" t="str">
        <x:v>高</x:v>
      </x:c>
      <x:c r="H70" s="35" t="str">
        <x:v>补齐缺口并验收</x:v>
      </x:c>
      <x:c r="I70" s="35" t="str">
        <x:v>S17</x:v>
      </x:c>
      <x:c r="J70" s="48" t="n">
        <x:v>46517</x:v>
      </x:c>
      <x:c r="K70" s="48" t="n">
        <x:v>46528</x:v>
      </x:c>
      <x:c r="L70" s="49" t="n">
        <x:v>25</x:v>
      </x:c>
      <x:c r="M70" s="20" t="str">
        <x:v>后端A + 前端A + QA</x:v>
      </x:c>
      <x:c r="N70" s="20" t="str">
        <x:v>月报模板、指标口径、审批人与交付名单</x:v>
      </x:c>
      <x:c r="O70" s="20" t="str">
        <x:v>一份月报覆盖文档要求的业务主题</x:v>
      </x:c>
      <x:c r="P70" s="20" t="str">
        <x:v>RPT-002；§9.5；§附录B</x:v>
      </x:c>
      <x:c r="Q70" s="23" t="str">
        <x:v>待分配</x:v>
      </x:c>
      <x:c r="R70" s="48"/>
      <x:c r="S70" s="23" t="str">
        <x:v>DES-012 替换为第 9.5 节和附录 B；月报内容、流程和原文编号分开记录。
原表状态：部分完成。</x:v>
      </x:c>
      <x:c r="T70" s="34" t="str">
        <x:v>原文要求（功能拆分）</x:v>
      </x:c>
      <x:c r="U70" s="34" t="str">
        <x:v>原表陈述，未复核</x:v>
      </x:c>
      <x:c r="V70" s="34" t="str">
        <x:v>未完成端到端验收</x:v>
      </x:c>
      <x:c r="W70" s="51" t="str">
        <x:v>未确认</x:v>
      </x:c>
    </x:row>
    <x:row r="71" ht="52" customHeight="1">
      <x:c r="A71" s="35" t="str">
        <x:v>FUN-077</x:v>
      </x:c>
      <x:c r="B71" s="20" t="str">
        <x:v>统计与报告</x:v>
      </x:c>
      <x:c r="C71" s="20" t="str">
        <x:v>PDF、Excel、CSV报告导出</x:v>
      </x:c>
      <x:c r="D71" s="50" t="str">
        <x:v>部分完成</x:v>
      </x:c>
      <x:c r="E71" s="20" t="str">
        <x:v>原表记录（运行未复核）：企业报表导出目前只支持CSV</x:v>
      </x:c>
      <x:c r="F71" s="20" t="str">
        <x:v>补 PDF/XLSX/CSV 一致制品与版本化模板；原文指定 WeasyPrint/XlsxWriter，若采用当前技术栈需先记录替代决定。</x:v>
      </x:c>
      <x:c r="G71" s="35" t="str">
        <x:v>高</x:v>
      </x:c>
      <x:c r="H71" s="35" t="str">
        <x:v>补齐缺口并验收</x:v>
      </x:c>
      <x:c r="I71" s="35" t="str">
        <x:v>S17</x:v>
      </x:c>
      <x:c r="J71" s="48" t="n">
        <x:v>46517</x:v>
      </x:c>
      <x:c r="K71" s="48" t="n">
        <x:v>46528</x:v>
      </x:c>
      <x:c r="L71" s="49" t="n">
        <x:v>18</x:v>
      </x:c>
      <x:c r="M71" s="20" t="str">
        <x:v>后端A + 前端A + QA</x:v>
      </x:c>
      <x:c r="N71" s="20" t="str">
        <x:v>月报模板、指标口径、审批人与交付名单</x:v>
      </x:c>
      <x:c r="O71" s="20" t="str">
        <x:v>三种导出可打开且业务数字一致</x:v>
      </x:c>
      <x:c r="P71" s="20" t="str">
        <x:v>RPT-003</x:v>
      </x:c>
      <x:c r="Q71" s="23" t="str">
        <x:v>待分配</x:v>
      </x:c>
      <x:c r="R71" s="48"/>
      <x:c r="S71" s="23" t="str">
        <x:v>功能格式相同不代表满足原文组件选型，补技术路线待确认项。
原表状态：部分完成。</x:v>
      </x:c>
      <x:c r="T71" s="34" t="str">
        <x:v>原文要求（功能拆分）</x:v>
      </x:c>
      <x:c r="U71" s="34" t="str">
        <x:v>原表陈述，未复核</x:v>
      </x:c>
      <x:c r="V71" s="34" t="str">
        <x:v>未完成端到端验收</x:v>
      </x:c>
      <x:c r="W71" s="51" t="str">
        <x:v>未确认</x:v>
      </x:c>
    </x:row>
    <x:row r="72" ht="52" customHeight="1">
      <x:c r="A72" s="35" t="str">
        <x:v>FUN-084</x:v>
      </x:c>
      <x:c r="B72" s="20" t="str">
        <x:v>数据与记录</x:v>
      </x:c>
      <x:c r="C72" s="20" t="str">
        <x:v>病毒扫描与隔离区</x:v>
      </x:c>
      <x:c r="D72" s="50" t="str">
        <x:v>部分完成</x:v>
      </x:c>
      <x:c r="E72" s="20" t="str">
        <x:v>已核查上传安全服务：ClamAV 为配置开关，扫描错误是否拒绝也受 FailClosed 配置控制；未验证运行配置与隔离区。</x:v>
      </x:c>
      <x:c r="F72" s="20" t="str">
        <x:v>按原文强制 ClamAV 和 Fail Closed；命中、超限、解压异常、扫描失败进入隔离区并限制访问，验证全入口。</x:v>
      </x:c>
      <x:c r="G72" s="35" t="str">
        <x:v>高</x:v>
      </x:c>
      <x:c r="H72" s="35" t="str">
        <x:v>补齐缺口并验收</x:v>
      </x:c>
      <x:c r="I72" s="35" t="str">
        <x:v>S18</x:v>
      </x:c>
      <x:c r="J72" s="48" t="n">
        <x:v>46531</x:v>
      </x:c>
      <x:c r="K72" s="48" t="n">
        <x:v>46542</x:v>
      </x:c>
      <x:c r="L72" s="49" t="n">
        <x:v>8</x:v>
      </x:c>
      <x:c r="M72" s="20" t="str">
        <x:v>后端A + 前端A + QA</x:v>
      </x:c>
      <x:c r="N72" s="20" t="str">
        <x:v>留存期限、Legal Hold政策和退出包范围</x:v>
      </x:c>
      <x:c r="O72" s="20" t="str">
        <x:v>未通过扫描不可访问；命中、超限、解压异常及扫描失败均有隔离记录与授权处置，不只是返回上传错误。</x:v>
      </x:c>
      <x:c r="P72" s="20" t="str">
        <x:v>TKT-007；SEC-003</x:v>
      </x:c>
      <x:c r="Q72" s="23" t="str">
        <x:v>待分配</x:v>
      </x:c>
      <x:c r="R72" s="48"/>
      <x:c r="S72" s="23" t="str">
        <x:v>原文要求的隔离场景不只危险文件；可选扫描不能视为强制扫描已实现。
原表状态：部分完成。</x:v>
      </x:c>
      <x:c r="T72" s="34" t="str">
        <x:v>原文要求（功能拆分）</x:v>
      </x:c>
      <x:c r="U72" s="34" t="str">
        <x:v>静态代码核查</x:v>
      </x:c>
      <x:c r="V72" s="34" t="str">
        <x:v>未完成端到端验收</x:v>
      </x:c>
      <x:c r="W72" s="51" t="str">
        <x:v>未确认</x:v>
      </x:c>
    </x:row>
    <x:row r="73" ht="52" customHeight="1">
      <x:c r="A73" s="35" t="str">
        <x:v>FUN-080</x:v>
      </x:c>
      <x:c r="B73" s="20" t="str">
        <x:v>统计与报告</x:v>
      </x:c>
      <x:c r="C73" s="20" t="str">
        <x:v>报告截止时间、版本及更正记录</x:v>
      </x:c>
      <x:c r="D73" s="50" t="str">
        <x:v>待完成</x:v>
      </x:c>
      <x:c r="E73" s="20" t="str">
        <x:v>原表记录（运行未复核）：未找到完整报告版本制品流程</x:v>
      </x:c>
      <x:c r="F73" s="20" t="str">
        <x:v>增加周期、时区、截止水位、模板/口径版本、校验和及更正原因</x:v>
      </x:c>
      <x:c r="G73" s="35" t="str">
        <x:v>中</x:v>
      </x:c>
      <x:c r="H73" s="35" t="str">
        <x:v>新增功能并验收</x:v>
      </x:c>
      <x:c r="I73" s="35" t="str">
        <x:v>S18</x:v>
      </x:c>
      <x:c r="J73" s="48" t="n">
        <x:v>46531</x:v>
      </x:c>
      <x:c r="K73" s="48" t="n">
        <x:v>46542</x:v>
      </x:c>
      <x:c r="L73" s="49" t="n">
        <x:v>12</x:v>
      </x:c>
      <x:c r="M73" s="20" t="str">
        <x:v>后端A + 前端A + QA</x:v>
      </x:c>
      <x:c r="N73" s="20" t="str">
        <x:v>月报模板、指标口径、审批人与交付名单</x:v>
      </x:c>
      <x:c r="O73" s="20" t="str">
        <x:v>更正生成新版本，旧报告不被覆盖</x:v>
      </x:c>
      <x:c r="P73" s="20" t="str">
        <x:v>RPT-006</x:v>
      </x:c>
      <x:c r="Q73" s="23" t="str">
        <x:v>待分配</x:v>
      </x:c>
      <x:c r="R73" s="48"/>
      <x:c r="S73" s="23" t="str">
        <x:v>保留原功能拆分，补真实原文摘录、来源级别及证据范围；本次不新增验收通过结论。
原表状态：待完成。</x:v>
      </x:c>
      <x:c r="T73" s="34" t="str">
        <x:v>原文要求（功能拆分）</x:v>
      </x:c>
      <x:c r="U73" s="34" t="str">
        <x:v>原表陈述，未复核</x:v>
      </x:c>
      <x:c r="V73" s="34" t="str">
        <x:v>未完成端到端验收</x:v>
      </x:c>
      <x:c r="W73" s="51" t="str">
        <x:v>未确认</x:v>
      </x:c>
    </x:row>
    <x:row r="74" ht="52" customHeight="1">
      <x:c r="A74" s="35" t="str">
        <x:v>FUN-081</x:v>
      </x:c>
      <x:c r="B74" s="20" t="str">
        <x:v>统计与报告</x:v>
      </x:c>
      <x:c r="C74" s="20" t="str">
        <x:v>月报审核、交付和历史归档</x:v>
      </x:c>
      <x:c r="D74" s="50" t="str">
        <x:v>待完成</x:v>
      </x:c>
      <x:c r="E74" s="20" t="str">
        <x:v>原表记录（运行未复核）：当前导出不能证明完整审核交付流程</x:v>
      </x:c>
      <x:c r="F74" s="20" t="str">
        <x:v>新增审核批准、交付结果与历史文件归档</x:v>
      </x:c>
      <x:c r="G74" s="35" t="str">
        <x:v>中</x:v>
      </x:c>
      <x:c r="H74" s="35" t="str">
        <x:v>新增功能并验收</x:v>
      </x:c>
      <x:c r="I74" s="35" t="str">
        <x:v>S18</x:v>
      </x:c>
      <x:c r="J74" s="48" t="n">
        <x:v>46531</x:v>
      </x:c>
      <x:c r="K74" s="48" t="n">
        <x:v>46542</x:v>
      </x:c>
      <x:c r="L74" s="49" t="n">
        <x:v>12</x:v>
      </x:c>
      <x:c r="M74" s="20" t="str">
        <x:v>后端A + 前端A + QA</x:v>
      </x:c>
      <x:c r="N74" s="20" t="str">
        <x:v>月报模板、指标口径、审批人与交付名单</x:v>
      </x:c>
      <x:c r="O74" s="20" t="str">
        <x:v>批准后交付且能查接收记录和历史版本</x:v>
      </x:c>
      <x:c r="P74" s="20" t="str">
        <x:v>§9.5；RPT-006</x:v>
      </x:c>
      <x:c r="Q74" s="23" t="str">
        <x:v>待分配</x:v>
      </x:c>
      <x:c r="R74" s="48"/>
      <x:c r="S74" s="23" t="str">
        <x:v>DES-012 替换为第 9.5 节，保留批准、交付证据和更正不覆盖历史。
原表状态：待完成。</x:v>
      </x:c>
      <x:c r="T74" s="34" t="str">
        <x:v>原文要求（功能拆分）</x:v>
      </x:c>
      <x:c r="U74" s="34" t="str">
        <x:v>原表陈述，未复核</x:v>
      </x:c>
      <x:c r="V74" s="34" t="str">
        <x:v>未完成端到端验收</x:v>
      </x:c>
      <x:c r="W74" s="51" t="str">
        <x:v>未确认</x:v>
      </x:c>
    </x:row>
    <x:row r="75" ht="52" customHeight="1">
      <x:c r="A75" s="35" t="str">
        <x:v>FUN-082</x:v>
      </x:c>
      <x:c r="B75" s="20" t="str">
        <x:v>统计与报告</x:v>
      </x:c>
      <x:c r="C75" s="20" t="str">
        <x:v>按权限临时导出指定字段</x:v>
      </x:c>
      <x:c r="D75" s="50" t="str">
        <x:v>部分完成</x:v>
      </x:c>
      <x:c r="E75" s="20" t="str">
        <x:v>原表记录（运行未复核）：已有CSV和审计导出权限</x:v>
      </x:c>
      <x:c r="F75" s="20" t="str">
        <x:v>补可选字段白名单、企业范围及导出审计</x:v>
      </x:c>
      <x:c r="G75" s="35" t="str">
        <x:v>中</x:v>
      </x:c>
      <x:c r="H75" s="35" t="str">
        <x:v>补齐缺口并验收</x:v>
      </x:c>
      <x:c r="I75" s="35" t="str">
        <x:v>S18</x:v>
      </x:c>
      <x:c r="J75" s="48" t="n">
        <x:v>46531</x:v>
      </x:c>
      <x:c r="K75" s="48" t="n">
        <x:v>46542</x:v>
      </x:c>
      <x:c r="L75" s="49" t="n">
        <x:v>8</x:v>
      </x:c>
      <x:c r="M75" s="20" t="str">
        <x:v>后端A + 前端A + QA</x:v>
      </x:c>
      <x:c r="N75" s="20" t="str">
        <x:v>月报模板、指标口径、审批人与交付名单</x:v>
      </x:c>
      <x:c r="O75" s="20" t="str">
        <x:v>无权限字段不能导出，导出可追溯</x:v>
      </x:c>
      <x:c r="P75" s="20" t="str">
        <x:v>RPT-008</x:v>
      </x:c>
      <x:c r="Q75" s="23" t="str">
        <x:v>待分配</x:v>
      </x:c>
      <x:c r="R75" s="48"/>
      <x:c r="S75" s="23" t="str">
        <x:v>保留原功能拆分，补真实原文摘录、来源级别及证据范围；本次不新增验收通过结论。
原表状态：部分完成。</x:v>
      </x:c>
      <x:c r="T75" s="34" t="str">
        <x:v>原文要求（功能拆分）</x:v>
      </x:c>
      <x:c r="U75" s="34" t="str">
        <x:v>原表陈述，未复核</x:v>
      </x:c>
      <x:c r="V75" s="34" t="str">
        <x:v>未完成端到端验收</x:v>
      </x:c>
      <x:c r="W75" s="51" t="str">
        <x:v>未确认</x:v>
      </x:c>
    </x:row>
    <x:row r="76" ht="52" customHeight="1">
      <x:c r="A76" s="35" t="str">
        <x:v>FUN-086</x:v>
      </x:c>
      <x:c r="B76" s="20" t="str">
        <x:v>数据与记录</x:v>
      </x:c>
      <x:c r="C76" s="20" t="str">
        <x:v>数据到期清理</x:v>
      </x:c>
      <x:c r="D76" s="50" t="str">
        <x:v>部分完成</x:v>
      </x:c>
      <x:c r="E76" s="20" t="str">
        <x:v>原表记录（运行未复核）：已有保留和删除服务</x:v>
      </x:c>
      <x:c r="F76" s="20" t="str">
        <x:v>按项目批准 Ticket/Attachment/Event/Audit/Metric/Log/Report/Backup 留存；验证主存储、索引、缓存及后续备份到期，支持审计和重试。</x:v>
      </x:c>
      <x:c r="G76" s="35" t="str">
        <x:v>中</x:v>
      </x:c>
      <x:c r="H76" s="35" t="str">
        <x:v>补齐缺口并验收</x:v>
      </x:c>
      <x:c r="I76" s="35" t="str">
        <x:v>S18</x:v>
      </x:c>
      <x:c r="J76" s="48" t="n">
        <x:v>46531</x:v>
      </x:c>
      <x:c r="K76" s="48" t="n">
        <x:v>46542</x:v>
      </x:c>
      <x:c r="L76" s="49" t="n">
        <x:v>8</x:v>
      </x:c>
      <x:c r="M76" s="20" t="str">
        <x:v>后端A + 前端A + QA</x:v>
      </x:c>
      <x:c r="N76" s="20" t="str">
        <x:v>留存期限、Legal Hold政策和退出包范围</x:v>
      </x:c>
      <x:c r="O76" s="20" t="str">
        <x:v>到期清理可重试，未到期不误删</x:v>
      </x:c>
      <x:c r="P76" s="20" t="str">
        <x:v>DAT-001；DAT-003</x:v>
      </x:c>
      <x:c r="Q76" s="23" t="str">
        <x:v>待分配</x:v>
      </x:c>
      <x:c r="R76" s="48"/>
      <x:c r="S76" s="23" t="str">
        <x:v>补回 DAT-001/003 的全数据类别与副本处理，不能仅验业务表删除。
原表状态：部分完成。</x:v>
      </x:c>
      <x:c r="T76" s="34" t="str">
        <x:v>原文要求（功能拆分）</x:v>
      </x:c>
      <x:c r="U76" s="34" t="str">
        <x:v>原表陈述，未复核</x:v>
      </x:c>
      <x:c r="V76" s="34" t="str">
        <x:v>未完成端到端验收</x:v>
      </x:c>
      <x:c r="W76" s="51" t="str">
        <x:v>未确认</x:v>
      </x:c>
    </x:row>
    <x:row r="77" ht="52" customHeight="1">
      <x:c r="A77" s="35" t="str">
        <x:v>FUN-087</x:v>
      </x:c>
      <x:c r="B77" s="20" t="str">
        <x:v>数据与记录</x:v>
      </x:c>
      <x:c r="C77" s="20" t="str">
        <x:v>法律保留与暂停删除</x:v>
      </x:c>
      <x:c r="D77" s="50" t="str">
        <x:v>待完成</x:v>
      </x:c>
      <x:c r="E77" s="20" t="str">
        <x:v>原表记录（运行未复核）：未找到完整Legal Hold功能</x:v>
      </x:c>
      <x:c r="F77" s="20" t="str">
        <x:v>增加保留范围、批准人、原因、开始/释放及删除拦截</x:v>
      </x:c>
      <x:c r="G77" s="35" t="str">
        <x:v>高</x:v>
      </x:c>
      <x:c r="H77" s="35" t="str">
        <x:v>新增功能并验收</x:v>
      </x:c>
      <x:c r="I77" s="35" t="str">
        <x:v>S19</x:v>
      </x:c>
      <x:c r="J77" s="48" t="n">
        <x:v>46545</x:v>
      </x:c>
      <x:c r="K77" s="48" t="n">
        <x:v>46556</x:v>
      </x:c>
      <x:c r="L77" s="49" t="n">
        <x:v>18</x:v>
      </x:c>
      <x:c r="M77" s="20" t="str">
        <x:v>后端A + 前端A + QA</x:v>
      </x:c>
      <x:c r="N77" s="20" t="str">
        <x:v>留存期限、Legal Hold政策和退出包范围</x:v>
      </x:c>
      <x:c r="O77" s="20" t="str">
        <x:v>Legal Hold 范围、批准人、原因、开始/释放可查，受影响记录自动删除被阻止；人工删除限制作为实施控制另验。</x:v>
      </x:c>
      <x:c r="P77" s="20" t="str">
        <x:v>DAT-002</x:v>
      </x:c>
      <x:c r="Q77" s="23" t="str">
        <x:v>待分配</x:v>
      </x:c>
      <x:c r="R77" s="48"/>
      <x:c r="S77" s="23" t="str">
        <x:v>DAT-002 明示自动删除拦截；对人工删除的扩展控制需要单独确认，不伪装原文逐字要求。
原表状态：待完成。</x:v>
      </x:c>
      <x:c r="T77" s="34" t="str">
        <x:v>原文要求（功能拆分）</x:v>
      </x:c>
      <x:c r="U77" s="34" t="str">
        <x:v>原表陈述，未复核</x:v>
      </x:c>
      <x:c r="V77" s="34" t="str">
        <x:v>未完成端到端验收</x:v>
      </x:c>
      <x:c r="W77" s="51" t="str">
        <x:v>未确认</x:v>
      </x:c>
    </x:row>
    <x:row r="78" ht="52" customHeight="1">
      <x:c r="A78" s="35" t="str">
        <x:v>FUN-089</x:v>
      </x:c>
      <x:c r="B78" s="20" t="str">
        <x:v>数据与记录</x:v>
      </x:c>
      <x:c r="C78" s="20" t="str">
        <x:v>完整退出交接包</x:v>
      </x:c>
      <x:c r="D78" s="50" t="str">
        <x:v>部分完成</x:v>
      </x:c>
      <x:c r="E78" s="20" t="str">
        <x:v>原表记录（运行未复核）：已有部分租户数据导出</x:v>
      </x:c>
      <x:c r="F78" s="20" t="str">
        <x:v>按约定导出工单/文章/附件/开放工单/历史报告/字典/清单及校验和，验证离线可读；排除平台源码、内部模板和 DayPop IP。</x:v>
      </x:c>
      <x:c r="G78" s="35" t="str">
        <x:v>高</x:v>
      </x:c>
      <x:c r="H78" s="35" t="str">
        <x:v>补齐缺口并验收</x:v>
      </x:c>
      <x:c r="I78" s="35" t="str">
        <x:v>S19</x:v>
      </x:c>
      <x:c r="J78" s="48" t="n">
        <x:v>46545</x:v>
      </x:c>
      <x:c r="K78" s="48" t="n">
        <x:v>46556</x:v>
      </x:c>
      <x:c r="L78" s="49" t="n">
        <x:v>25</x:v>
      </x:c>
      <x:c r="M78" s="20" t="str">
        <x:v>后端A + 前端A + QA</x:v>
      </x:c>
      <x:c r="N78" s="20" t="str">
        <x:v>留存期限、Legal Hold政策和退出包范围</x:v>
      </x:c>
      <x:c r="O78" s="20" t="str">
        <x:v>客户可离线读取全部约定资料并核对完整性</x:v>
      </x:c>
      <x:c r="P78" s="20" t="str">
        <x:v>DAT-004；§18.6；§附录C</x:v>
      </x:c>
      <x:c r="Q78" s="23" t="str">
        <x:v>待分配</x:v>
      </x:c>
      <x:c r="R78" s="48"/>
      <x:c r="S78" s="23" t="str">
        <x:v>DES-013 替换为第 18.6 节及附录 C，并补交接包知识产权排除边界。
原表状态：部分完成。</x:v>
      </x:c>
      <x:c r="T78" s="34" t="str">
        <x:v>原文要求（功能拆分）</x:v>
      </x:c>
      <x:c r="U78" s="34" t="str">
        <x:v>原表陈述，未复核</x:v>
      </x:c>
      <x:c r="V78" s="34" t="str">
        <x:v>未完成端到端验收</x:v>
      </x:c>
      <x:c r="W78" s="51" t="str">
        <x:v>未确认</x:v>
      </x:c>
    </x:row>
    <x:row r="79" ht="52" customHeight="1">
      <x:c r="A79" s="35" t="str">
        <x:v>FUN-088</x:v>
      </x:c>
      <x:c r="B79" s="20" t="str">
        <x:v>数据与记录</x:v>
      </x:c>
      <x:c r="C79" s="20" t="str">
        <x:v>客户数据请求与限定导出</x:v>
      </x:c>
      <x:c r="D79" s="50" t="str">
        <x:v>部分完成</x:v>
      </x:c>
      <x:c r="E79" s="20" t="str">
        <x:v>原表记录（运行未复核）：已有客户隐私和账号删除基础</x:v>
      </x:c>
      <x:c r="F79" s="20" t="str">
        <x:v>补按客户身份限定范围检索、审批与导出</x:v>
      </x:c>
      <x:c r="G79" s="35" t="str">
        <x:v>中</x:v>
      </x:c>
      <x:c r="H79" s="35" t="str">
        <x:v>补齐缺口并验收</x:v>
      </x:c>
      <x:c r="I79" s="35" t="str">
        <x:v>S19</x:v>
      </x:c>
      <x:c r="J79" s="48" t="n">
        <x:v>46545</x:v>
      </x:c>
      <x:c r="K79" s="48" t="n">
        <x:v>46556</x:v>
      </x:c>
      <x:c r="L79" s="49" t="n">
        <x:v>8</x:v>
      </x:c>
      <x:c r="M79" s="20" t="str">
        <x:v>后端A + 前端A + QA</x:v>
      </x:c>
      <x:c r="N79" s="20" t="str">
        <x:v>留存期限、Legal Hold政策和退出包范围</x:v>
      </x:c>
      <x:c r="O79" s="20" t="str">
        <x:v>导出仅包含该客户授权范围数据</x:v>
      </x:c>
      <x:c r="P79" s="20" t="str">
        <x:v>DAT-006</x:v>
      </x:c>
      <x:c r="Q79" s="23" t="str">
        <x:v>待分配</x:v>
      </x:c>
      <x:c r="R79" s="48"/>
      <x:c r="S79" s="23" t="str">
        <x:v>保留原功能拆分，补真实原文摘录、来源级别及证据范围；本次不新增验收通过结论。
原表状态：部分完成。</x:v>
      </x:c>
      <x:c r="T79" s="34" t="str">
        <x:v>原文要求（功能拆分）</x:v>
      </x:c>
      <x:c r="U79" s="34" t="str">
        <x:v>原表陈述，未复核</x:v>
      </x:c>
      <x:c r="V79" s="34" t="str">
        <x:v>未完成端到端验收</x:v>
      </x:c>
      <x:c r="W79" s="51" t="str">
        <x:v>未确认</x:v>
      </x:c>
    </x:row>
    <x:row r="80" ht="66" customHeight="1">
      <x:c r="A80" s="35" t="str">
        <x:v>FUN-001</x:v>
      </x:c>
      <x:c r="B80" s="20" t="str">
        <x:v>账号与权限</x:v>
      </x:c>
      <x:c r="C80" s="20" t="str">
        <x:v>企业及管理员账号管理</x:v>
      </x:c>
      <x:c r="D80" s="50" t="str">
        <x:v>待复验</x:v>
      </x:c>
      <x:c r="E80" s="20" t="str">
        <x:v>原表记录（运行未复核）：已创建本地演示企业、管理员并登录使用</x:v>
      </x:c>
      <x:c r="F80" s="20" t="str">
        <x:v>补可复核的测试记录、环境/版本和验收人；确认原文对应范围。</x:v>
      </x:c>
      <x:c r="G80" s="35" t="str">
        <x:v>待确认</x:v>
      </x:c>
      <x:c r="H80" s="35" t="str">
        <x:v>补历史证据并复验</x:v>
      </x:c>
      <x:c r="I80" s="35" t="str">
        <x:v>回归待排</x:v>
      </x:c>
      <x:c r="J80" s="48"/>
      <x:c r="K80" s="48"/>
      <x:c r="L80" s="49" t="n">
        <x:v>0</x:v>
      </x:c>
      <x:c r="M80" s="20" t="str">
        <x:v>后端A + 前端A + QA</x:v>
      </x:c>
      <x:c r="N80" s="20" t="str">
        <x:v>无需新增输入</x:v>
      </x:c>
      <x:c r="O80" s="20" t="str">
        <x:v>管理员可登录本企业并管理业务</x:v>
      </x:c>
      <x:c r="P80" s="20" t="str">
        <x:v>IAM-003</x:v>
      </x:c>
      <x:c r="Q80" s="23" t="str">
        <x:v>待分配</x:v>
      </x:c>
      <x:c r="R80" s="48"/>
      <x:c r="S80" s="23" t="str">
        <x:v>删除错误的 FND-001 映射。企业管理员管理只是权限能力的一部分，不能证明项目自动部署或完整角色矩阵。
原表标为已完成，未附可复核运行证据，现标待复验；不是断言原功能失效。</x:v>
      </x:c>
      <x:c r="T80" s="34" t="str">
        <x:v>系统适配（非独立原文要求）</x:v>
      </x:c>
      <x:c r="U80" s="34" t="str">
        <x:v>原表陈述，未复核</x:v>
      </x:c>
      <x:c r="V80" s="34" t="str">
        <x:v>未完成端到端验收</x:v>
      </x:c>
      <x:c r="W80" s="51" t="str">
        <x:v>未确认</x:v>
      </x:c>
    </x:row>
    <x:row r="81" ht="66" customHeight="1">
      <x:c r="A81" s="35" t="str">
        <x:v>FUN-002</x:v>
      </x:c>
      <x:c r="B81" s="20" t="str">
        <x:v>账号与权限</x:v>
      </x:c>
      <x:c r="C81" s="20" t="str">
        <x:v>工程师和客户账号管理</x:v>
      </x:c>
      <x:c r="D81" s="50" t="str">
        <x:v>待复验</x:v>
      </x:c>
      <x:c r="E81" s="20" t="str">
        <x:v>原表记录（运行未复核）：演示工程师与客户已创建并独立登录</x:v>
      </x:c>
      <x:c r="F81" s="20" t="str">
        <x:v>补可复核的测试记录、环境/版本和验收人；确认原文对应范围。</x:v>
      </x:c>
      <x:c r="G81" s="35" t="str">
        <x:v>待确认</x:v>
      </x:c>
      <x:c r="H81" s="35" t="str">
        <x:v>补历史证据并复验</x:v>
      </x:c>
      <x:c r="I81" s="35" t="str">
        <x:v>回归待排</x:v>
      </x:c>
      <x:c r="J81" s="48"/>
      <x:c r="K81" s="48"/>
      <x:c r="L81" s="49" t="n">
        <x:v>0</x:v>
      </x:c>
      <x:c r="M81" s="20" t="str">
        <x:v>后端A + 前端A + QA</x:v>
      </x:c>
      <x:c r="N81" s="20" t="str">
        <x:v>无需新增输入</x:v>
      </x:c>
      <x:c r="O81" s="20" t="str">
        <x:v>三类账号各自正常登录</x:v>
      </x:c>
      <x:c r="P81" s="20" t="str">
        <x:v>IAM-003；BR-004</x:v>
      </x:c>
      <x:c r="Q81" s="23" t="str">
        <x:v>待分配</x:v>
      </x:c>
      <x:c r="R81" s="48"/>
      <x:c r="S81" s="23" t="str">
        <x:v>工程师为当前系统角色，客户账号不属于原文 Agent 角色矩阵；须分别判断，不以三类账号登录代替 IAM 验收。
原表标为已完成，未附可复核运行证据，现标待复验；不是断言原功能失效。</x:v>
      </x:c>
      <x:c r="T81" s="34" t="str">
        <x:v>系统扩展与原文要求混合</x:v>
      </x:c>
      <x:c r="U81" s="34" t="str">
        <x:v>原表陈述，未复核</x:v>
      </x:c>
      <x:c r="V81" s="34" t="str">
        <x:v>未完成端到端验收</x:v>
      </x:c>
      <x:c r="W81" s="51" t="str">
        <x:v>未确认</x:v>
      </x:c>
    </x:row>
    <x:row r="82" ht="66" customHeight="1">
      <x:c r="A82" s="35" t="str">
        <x:v>FUN-009</x:v>
      </x:c>
      <x:c r="B82" s="20" t="str">
        <x:v>接待与工单</x:v>
      </x:c>
      <x:c r="C82" s="20" t="str">
        <x:v>现有会话转工单与交接适配</x:v>
      </x:c>
      <x:c r="D82" s="50" t="str">
        <x:v>待复验</x:v>
      </x:c>
      <x:c r="E82" s="20" t="str">
        <x:v>原表记录（运行未复核）：本地真实流程已创建会话关联工单</x:v>
      </x:c>
      <x:c r="F82" s="20" t="str">
        <x:v>复验现有转单；按 DCH-005 补完整交接字段，并确认 Chatwoot/GLPI 事实源与双向映射方案。</x:v>
      </x:c>
      <x:c r="G82" s="35" t="str">
        <x:v>待确认</x:v>
      </x:c>
      <x:c r="H82" s="35" t="str">
        <x:v>补历史证据并复验</x:v>
      </x:c>
      <x:c r="I82" s="35" t="str">
        <x:v>回归待排</x:v>
      </x:c>
      <x:c r="J82" s="48"/>
      <x:c r="K82" s="48"/>
      <x:c r="L82" s="49" t="n">
        <x:v>0</x:v>
      </x:c>
      <x:c r="M82" s="20" t="str">
        <x:v>后端A + 前端A + QA</x:v>
      </x:c>
      <x:c r="N82" s="20" t="str">
        <x:v>无需新增输入</x:v>
      </x:c>
      <x:c r="O82" s="20" t="str">
        <x:v>现有转单流程可回归；原文验收还须验证完整交接字段、幂等、双向映射及事实源，不能只查工单创建。</x:v>
      </x:c>
      <x:c r="P82" s="20" t="str">
        <x:v>TKT-001；DCH-005；DCH-006</x:v>
      </x:c>
      <x:c r="Q82" s="23" t="str">
        <x:v>待分配</x:v>
      </x:c>
      <x:c r="R82" s="48"/>
      <x:c r="S82" s="23" t="str">
        <x:v>自研会话转单只是可复用基础，不等于原文 WhatsApp/Chatbot 到 GLPI 的完整交接。
原表标为已完成，未附可复核运行证据，现标待复验；不是断言原功能失效。</x:v>
      </x:c>
      <x:c r="T82" s="34" t="str">
        <x:v>系统适配（事实源待决策）</x:v>
      </x:c>
      <x:c r="U82" s="34" t="str">
        <x:v>代码/测试入口定位</x:v>
      </x:c>
      <x:c r="V82" s="34" t="str">
        <x:v>未完成端到端验收</x:v>
      </x:c>
      <x:c r="W82" s="51" t="str">
        <x:v>未确认</x:v>
      </x:c>
    </x:row>
    <x:row r="83" ht="66" customHeight="1">
      <x:c r="A83" s="35" t="str">
        <x:v>FUN-015</x:v>
      </x:c>
      <x:c r="B83" s="20" t="str">
        <x:v>接待与工单</x:v>
      </x:c>
      <x:c r="C83" s="20" t="str">
        <x:v>工单分配给工程师</x:v>
      </x:c>
      <x:c r="D83" s="50" t="str">
        <x:v>待复验</x:v>
      </x:c>
      <x:c r="E83" s="20" t="str">
        <x:v>原表记录（运行未复核）：已验证管理员派单和自动派单</x:v>
      </x:c>
      <x:c r="F83" s="20" t="str">
        <x:v>补可复核的测试记录、环境/版本和验收人；确认原文对应范围。</x:v>
      </x:c>
      <x:c r="G83" s="35" t="str">
        <x:v>待确认</x:v>
      </x:c>
      <x:c r="H83" s="35" t="str">
        <x:v>补历史证据并复验</x:v>
      </x:c>
      <x:c r="I83" s="35" t="str">
        <x:v>回归待排</x:v>
      </x:c>
      <x:c r="J83" s="48"/>
      <x:c r="K83" s="48"/>
      <x:c r="L83" s="49" t="n">
        <x:v>0</x:v>
      </x:c>
      <x:c r="M83" s="20" t="str">
        <x:v>后端A + 前端A + QA</x:v>
      </x:c>
      <x:c r="N83" s="20" t="str">
        <x:v>无需新增输入</x:v>
      </x:c>
      <x:c r="O83" s="20" t="str">
        <x:v>配置服务工程师后工单可分配</x:v>
      </x:c>
      <x:c r="P83" s="20" t="str">
        <x:v>TKT-004；TKT-006；§9.1</x:v>
      </x:c>
      <x:c r="Q83" s="23" t="str">
        <x:v>待分配</x:v>
      </x:c>
      <x:c r="R83" s="48"/>
      <x:c r="S83" s="23" t="str">
        <x:v>工程师派单是当前实现方式；原文重点为责任组、状态和行政负责人持续存在。
原表标为已完成，未附可复核运行证据，现标待复验；不是断言原功能失效。</x:v>
      </x:c>
      <x:c r="T83" s="34" t="str">
        <x:v>系统适配（工程师派单）</x:v>
      </x:c>
      <x:c r="U83" s="34" t="str">
        <x:v>代码/测试入口定位</x:v>
      </x:c>
      <x:c r="V83" s="34" t="str">
        <x:v>未完成端到端验收</x:v>
      </x:c>
      <x:c r="W83" s="51" t="str">
        <x:v>未确认</x:v>
      </x:c>
    </x:row>
    <x:row r="84" ht="66" customHeight="1">
      <x:c r="A84" s="35" t="str">
        <x:v>FUN-016</x:v>
      </x:c>
      <x:c r="B84" s="20" t="str">
        <x:v>接待与工单</x:v>
      </x:c>
      <x:c r="C84" s="20" t="str">
        <x:v>工程师接单与处理</x:v>
      </x:c>
      <x:c r="D84" s="50" t="str">
        <x:v>待复验</x:v>
      </x:c>
      <x:c r="E84" s="20" t="str">
        <x:v>原表记录（运行未复核）：已验证接单后进入处理中并更新进度</x:v>
      </x:c>
      <x:c r="F84" s="20" t="str">
        <x:v>补可复核的测试记录、环境/版本和验收人；确认原文对应范围。</x:v>
      </x:c>
      <x:c r="G84" s="35" t="str">
        <x:v>待确认</x:v>
      </x:c>
      <x:c r="H84" s="35" t="str">
        <x:v>补历史证据并复验</x:v>
      </x:c>
      <x:c r="I84" s="35" t="str">
        <x:v>回归待排</x:v>
      </x:c>
      <x:c r="J84" s="48"/>
      <x:c r="K84" s="48"/>
      <x:c r="L84" s="49" t="n">
        <x:v>0</x:v>
      </x:c>
      <x:c r="M84" s="20" t="str">
        <x:v>后端A + 前端A + QA</x:v>
      </x:c>
      <x:c r="N84" s="20" t="str">
        <x:v>无需新增输入</x:v>
      </x:c>
      <x:c r="O84" s="20" t="str">
        <x:v>工程师接单后记录处理动作</x:v>
      </x:c>
      <x:c r="P84" s="20" t="str">
        <x:v>TKT-004；BR-004；§7.3</x:v>
      </x:c>
      <x:c r="Q84" s="23" t="str">
        <x:v>待分配</x:v>
      </x:c>
      <x:c r="R84" s="48"/>
      <x:c r="S84" s="23" t="str">
        <x:v>工程师 AcceptedAt 与原文面向受理的 Acknowledged 不能未经确认直接等同。
原表标为已完成，未附可复核运行证据，现标待复验；不是断言原功能失效。</x:v>
      </x:c>
      <x:c r="T84" s="34" t="str">
        <x:v>系统适配（工程师接单）</x:v>
      </x:c>
      <x:c r="U84" s="34" t="str">
        <x:v>代码/测试入口定位</x:v>
      </x:c>
      <x:c r="V84" s="34" t="str">
        <x:v>未完成端到端验收</x:v>
      </x:c>
      <x:c r="W84" s="51" t="str">
        <x:v>未确认</x:v>
      </x:c>
    </x:row>
    <x:row r="85" ht="66" customHeight="1">
      <x:c r="A85" s="35" t="str">
        <x:v>FUN-017</x:v>
      </x:c>
      <x:c r="B85" s="20" t="str">
        <x:v>接待与工单</x:v>
      </x:c>
      <x:c r="C85" s="20" t="str">
        <x:v>用户进度通知（客户门户为扩展）</x:v>
      </x:c>
      <x:c r="D85" s="50" t="str">
        <x:v>待复验</x:v>
      </x:c>
      <x:c r="E85" s="20" t="str">
        <x:v>原表记录（运行未复核）：演示已验证处理进度及客户查看</x:v>
      </x:c>
      <x:c r="F85" s="20" t="str">
        <x:v>保留门户回归；另验批准模板、语言、敏感字段和发送结果。客户自助门户不计入原文 V1 必须能力。</x:v>
      </x:c>
      <x:c r="G85" s="35" t="str">
        <x:v>待确认</x:v>
      </x:c>
      <x:c r="H85" s="35" t="str">
        <x:v>补历史证据并复验</x:v>
      </x:c>
      <x:c r="I85" s="35" t="str">
        <x:v>回归待排</x:v>
      </x:c>
      <x:c r="J85" s="48"/>
      <x:c r="K85" s="48"/>
      <x:c r="L85" s="49" t="n">
        <x:v>0</x:v>
      </x:c>
      <x:c r="M85" s="20" t="str">
        <x:v>后端A + 前端A + QA</x:v>
      </x:c>
      <x:c r="N85" s="20" t="str">
        <x:v>无需新增输入</x:v>
      </x:c>
      <x:c r="O85" s="20" t="str">
        <x:v>通知内容与投递记录满足 TKT-009；门户仅作为现有扩展独立验证授权与进度可见性。</x:v>
      </x:c>
      <x:c r="P85" s="20" t="str">
        <x:v>TKT-009；BR-004；§2.4</x:v>
      </x:c>
      <x:c r="Q85" s="23" t="str">
        <x:v>待分配</x:v>
      </x:c>
      <x:c r="R85" s="48"/>
      <x:c r="S85" s="23" t="str">
        <x:v>用户更新是原文要求，但面向客户的 Self-service Portal 被列为 V1 不包含。
原表标为已完成，未附可复核运行证据，现标待复验；不是断言原功能失效。</x:v>
      </x:c>
      <x:c r="T85" s="34" t="str">
        <x:v>系统扩展与原文要求混合</x:v>
      </x:c>
      <x:c r="U85" s="34" t="str">
        <x:v>代码/测试入口定位</x:v>
      </x:c>
      <x:c r="V85" s="34" t="str">
        <x:v>未完成端到端验收</x:v>
      </x:c>
      <x:c r="W85" s="51" t="str">
        <x:v>未确认</x:v>
      </x:c>
    </x:row>
    <x:row r="86" ht="66" customHeight="1">
      <x:c r="A86" s="35" t="str">
        <x:v>FUN-018</x:v>
      </x:c>
      <x:c r="B86" s="20" t="str">
        <x:v>接待与工单</x:v>
      </x:c>
      <x:c r="C86" s="20" t="str">
        <x:v>解决记录与验证结果</x:v>
      </x:c>
      <x:c r="D86" s="50" t="str">
        <x:v>待复验</x:v>
      </x:c>
      <x:c r="E86" s="20" t="str">
        <x:v>原表记录（运行未复核）：已验证缺少通过验证的维修提交被拒，完整提交成功</x:v>
      </x:c>
      <x:c r="F86" s="20" t="str">
        <x:v>补可复核的测试记录、环境/版本和验收人；确认原文对应范围。</x:v>
      </x:c>
      <x:c r="G86" s="35" t="str">
        <x:v>待确认</x:v>
      </x:c>
      <x:c r="H86" s="35" t="str">
        <x:v>补历史证据并复验</x:v>
      </x:c>
      <x:c r="I86" s="35" t="str">
        <x:v>回归待排</x:v>
      </x:c>
      <x:c r="J86" s="48"/>
      <x:c r="K86" s="48"/>
      <x:c r="L86" s="49" t="n">
        <x:v>0</x:v>
      </x:c>
      <x:c r="M86" s="20" t="str">
        <x:v>后端A + 前端A + QA</x:v>
      </x:c>
      <x:c r="N86" s="20" t="str">
        <x:v>无需新增输入</x:v>
      </x:c>
      <x:c r="O86" s="20" t="str">
        <x:v>有故障、原因、方案及验证结果后提交解决</x:v>
      </x:c>
      <x:c r="P86" s="20" t="str">
        <x:v>TKT-004；§7.3；§9.1</x:v>
      </x:c>
      <x:c r="Q86" s="23" t="str">
        <x:v>待分配</x:v>
      </x:c>
      <x:c r="R86" s="48"/>
      <x:c r="S86" s="23" t="str">
        <x:v>恢复/解决证据是原文要求；设备故障、根因、维修方案等具体表单是现有售后系统适配。
原表标为已完成，未附可复核运行证据，现标待复验；不是断言原功能失效。</x:v>
      </x:c>
      <x:c r="T86" s="34" t="str">
        <x:v>系统适配（维修记录）</x:v>
      </x:c>
      <x:c r="U86" s="34" t="str">
        <x:v>代码/测试入口定位</x:v>
      </x:c>
      <x:c r="V86" s="34" t="str">
        <x:v>未完成端到端验收</x:v>
      </x:c>
      <x:c r="W86" s="51" t="str">
        <x:v>未确认</x:v>
      </x:c>
    </x:row>
    <x:row r="87" ht="52" customHeight="1">
      <x:c r="A87" s="35" t="str">
        <x:v>FUN-019</x:v>
      </x:c>
      <x:c r="B87" s="20" t="str">
        <x:v>接待与工单</x:v>
      </x:c>
      <x:c r="C87" s="20" t="str">
        <x:v>客户确认关闭（评价为扩展）</x:v>
      </x:c>
      <x:c r="D87" s="50" t="str">
        <x:v>待复验</x:v>
      </x:c>
      <x:c r="E87" s="20" t="str">
        <x:v>原表记录（运行未复核）：客户确认和评分已实际通过</x:v>
      </x:c>
      <x:c r="F87" s="20" t="str">
        <x:v>按关闭清单、关闭码、用户确认/超时及必要知识关联复验；评分单独作为扩展保留。</x:v>
      </x:c>
      <x:c r="G87" s="35" t="str">
        <x:v>待确认</x:v>
      </x:c>
      <x:c r="H87" s="35" t="str">
        <x:v>补历史证据并复验</x:v>
      </x:c>
      <x:c r="I87" s="35" t="str">
        <x:v>回归待排</x:v>
      </x:c>
      <x:c r="J87" s="48"/>
      <x:c r="K87" s="48"/>
      <x:c r="L87" s="49" t="n">
        <x:v>0</x:v>
      </x:c>
      <x:c r="M87" s="20" t="str">
        <x:v>后端A + 前端A + QA</x:v>
      </x:c>
      <x:c r="N87" s="20" t="str">
        <x:v>无需新增输入</x:v>
      </x:c>
      <x:c r="O87" s="20" t="str">
        <x:v>关闭具备清单、关闭码及确认/超时依据；评价可独立回归，但不作为原文已完成证明。</x:v>
      </x:c>
      <x:c r="P87" s="20" t="str">
        <x:v>TKT-004；§9.1</x:v>
      </x:c>
      <x:c r="Q87" s="23" t="str">
        <x:v>待分配</x:v>
      </x:c>
      <x:c r="R87" s="48"/>
      <x:c r="S87" s="23" t="str">
        <x:v>关闭确认来自第 9.1 节，客户评分不是 TKT-004 明示要求。
原表标为已完成，未附可复核运行证据，现标待复验；不是断言原功能失效。</x:v>
      </x:c>
      <x:c r="T87" s="34" t="str">
        <x:v>原文要求与评价扩展混合</x:v>
      </x:c>
      <x:c r="U87" s="34" t="str">
        <x:v>代码/测试入口定位</x:v>
      </x:c>
      <x:c r="V87" s="34" t="str">
        <x:v>未完成端到端验收</x:v>
      </x:c>
      <x:c r="W87" s="51" t="str">
        <x:v>未确认</x:v>
      </x:c>
    </x:row>
    <x:row r="88" ht="52" customHeight="1">
      <x:c r="A88" s="35" t="str">
        <x:v>FUN-020</x:v>
      </x:c>
      <x:c r="B88" s="20" t="str">
        <x:v>接待与工单</x:v>
      </x:c>
      <x:c r="C88" s="20" t="str">
        <x:v>关闭后重新打开</x:v>
      </x:c>
      <x:c r="D88" s="50" t="str">
        <x:v>待复验</x:v>
      </x:c>
      <x:c r="E88" s="20" t="str">
        <x:v>原表记录（运行未复核）：已验证客户重开、工程师再次处理及确认</x:v>
      </x:c>
      <x:c r="F88" s="20" t="str">
        <x:v>验证 ticket.reopened 事件、适用时钟重启，并核对历史 Resolve/Close 时间未被改写。</x:v>
      </x:c>
      <x:c r="G88" s="35" t="str">
        <x:v>待确认</x:v>
      </x:c>
      <x:c r="H88" s="35" t="str">
        <x:v>补历史证据并复验</x:v>
      </x:c>
      <x:c r="I88" s="35" t="str">
        <x:v>回归待排</x:v>
      </x:c>
      <x:c r="J88" s="48"/>
      <x:c r="K88" s="48"/>
      <x:c r="L88" s="49" t="n">
        <x:v>0</x:v>
      </x:c>
      <x:c r="M88" s="20" t="str">
        <x:v>后端A + 前端A + QA</x:v>
      </x:c>
      <x:c r="N88" s="20" t="str">
        <x:v>无需新增输入</x:v>
      </x:c>
      <x:c r="O88" s="20" t="str">
        <x:v>重开产生独立事件，继续处理并重启适用时钟；旧解决和关闭时间仍可追溯。</x:v>
      </x:c>
      <x:c r="P88" s="20" t="str">
        <x:v>§7.3；BR-004</x:v>
      </x:c>
      <x:c r="Q88" s="23" t="str">
        <x:v>待分配</x:v>
      </x:c>
      <x:c r="R88" s="48"/>
      <x:c r="S88" s="23" t="str">
        <x:v>补上第 7.3 节明确要求，不能只验证状态回到处理中。
原表标为已完成，未附可复核运行证据，现标待复验；不是断言原功能失效。</x:v>
      </x:c>
      <x:c r="T88" s="34" t="str">
        <x:v>原文要求（功能拆分）</x:v>
      </x:c>
      <x:c r="U88" s="34" t="str">
        <x:v>代码/测试入口定位</x:v>
      </x:c>
      <x:c r="V88" s="34" t="str">
        <x:v>未完成端到端验收</x:v>
      </x:c>
      <x:c r="W88" s="51" t="str">
        <x:v>未确认</x:v>
      </x:c>
    </x:row>
    <x:row r="89" ht="52" customHeight="1">
      <x:c r="A89" s="35" t="str">
        <x:v>FUN-046</x:v>
      </x:c>
      <x:c r="B89" s="20" t="str">
        <x:v>知识与机器人</x:v>
      </x:c>
      <x:c r="C89" s="20" t="str">
        <x:v>产品资料上传和检索</x:v>
      </x:c>
      <x:c r="D89" s="50" t="str">
        <x:v>待复验</x:v>
      </x:c>
      <x:c r="E89" s="20" t="str">
        <x:v>原表记录（运行未复核）：两份产品文档上传、索引和检索已验证</x:v>
      </x:c>
      <x:c r="F89" s="20" t="str">
        <x:v>复验现有上传检索；明确采用 GLPI 原生 KB 还是批准替代架构，并补批准内部文章、Script/Runbook 对应。</x:v>
      </x:c>
      <x:c r="G89" s="35" t="str">
        <x:v>待确认</x:v>
      </x:c>
      <x:c r="H89" s="35" t="str">
        <x:v>补历史证据并复验</x:v>
      </x:c>
      <x:c r="I89" s="35" t="str">
        <x:v>回归待排</x:v>
      </x:c>
      <x:c r="J89" s="48"/>
      <x:c r="K89" s="48"/>
      <x:c r="L89" s="49" t="n">
        <x:v>0</x:v>
      </x:c>
      <x:c r="M89" s="20" t="str">
        <x:v>后端B + 前端B + QA</x:v>
      </x:c>
      <x:c r="N89" s="20" t="str">
        <x:v>无需新增输入</x:v>
      </x:c>
      <x:c r="O89" s="20" t="str">
        <x:v>检索回归只证明自研能力；KB-001 还须验证 GLPI 原生 KB 或取得正式架构变更批准。</x:v>
      </x:c>
      <x:c r="P89" s="20" t="str">
        <x:v>KB-001；DCH-003</x:v>
      </x:c>
      <x:c r="Q89" s="23" t="str">
        <x:v>待分配</x:v>
      </x:c>
      <x:c r="R89" s="48"/>
      <x:c r="S89" s="23" t="str">
        <x:v>不能以产品文档向量检索已经演示，证明 GLPI 原生知识库要求已完成。
原表标为已完成，未附可复核运行证据，现标待复验；不是断言原功能失效。</x:v>
      </x:c>
      <x:c r="T89" s="34" t="str">
        <x:v>系统适配（知识事实源不同）</x:v>
      </x:c>
      <x:c r="U89" s="34" t="str">
        <x:v>代码/测试入口定位</x:v>
      </x:c>
      <x:c r="V89" s="34" t="str">
        <x:v>未完成端到端验收</x:v>
      </x:c>
      <x:c r="W89" s="51" t="str">
        <x:v>未确认</x:v>
      </x:c>
    </x:row>
    <x:row r="90" ht="66" customHeight="1">
      <x:c r="A90" s="35" t="str">
        <x:v>FUN-047</x:v>
      </x:c>
      <x:c r="B90" s="20" t="str">
        <x:v>知识与机器人</x:v>
      </x:c>
      <x:c r="C90" s="20" t="str">
        <x:v>基于已审批资料回答客户问题</x:v>
      </x:c>
      <x:c r="D90" s="50" t="str">
        <x:v>待复验</x:v>
      </x:c>
      <x:c r="E90" s="20" t="str">
        <x:v>原表记录（运行未复核）：lalala实际会话已生成包含资料阈值的答案</x:v>
      </x:c>
      <x:c r="F90" s="20" t="str">
        <x:v>复验已批准、有效资料问答；与 FUN-048/053/054/055/056 联合验知识有效性、风险限制、版本和转人工。</x:v>
      </x:c>
      <x:c r="G90" s="35" t="str">
        <x:v>待确认</x:v>
      </x:c>
      <x:c r="H90" s="35" t="str">
        <x:v>补历史证据并复验</x:v>
      </x:c>
      <x:c r="I90" s="35" t="str">
        <x:v>回归待排</x:v>
      </x:c>
      <x:c r="J90" s="48"/>
      <x:c r="K90" s="48"/>
      <x:c r="L90" s="49" t="n">
        <x:v>0</x:v>
      </x:c>
      <x:c r="M90" s="20" t="str">
        <x:v>后端B + 前端B + QA</x:v>
      </x:c>
      <x:c r="N90" s="20" t="str">
        <x:v>无需新增输入</x:v>
      </x:c>
      <x:c r="O90" s="20" t="str">
        <x:v>只使用已批准有效内容；草稿/过期/撤回资料不能作为标准答复；其余 Bot 约束分别留证。</x:v>
      </x:c>
      <x:c r="P90" s="20" t="str">
        <x:v>DCH-003；KB-003</x:v>
      </x:c>
      <x:c r="Q90" s="23" t="str">
        <x:v>待分配</x:v>
      </x:c>
      <x:c r="R90" s="48"/>
      <x:c r="S90" s="23" t="str">
        <x:v>有基于入库资料的回答不等于已审批问答；原文的批准与有效性前置不能省略。
原表标为已完成，未附可复核运行证据，现标待复验；不是断言原功能失效。</x:v>
      </x:c>
      <x:c r="T90" s="34" t="str">
        <x:v>原文要求（功能拆分）</x:v>
      </x:c>
      <x:c r="U90" s="34" t="str">
        <x:v>原表陈述，未复核</x:v>
      </x:c>
      <x:c r="V90" s="34" t="str">
        <x:v>未完成端到端验收</x:v>
      </x:c>
      <x:c r="W90" s="51" t="str">
        <x:v>未确认</x:v>
      </x:c>
    </x:row>
    <x:row r="91" ht="66" customHeight="1">
      <x:c r="A91" s="35" t="str">
        <x:v>FUN-075</x:v>
      </x:c>
      <x:c r="B91" s="20" t="str">
        <x:v>统计与报告</x:v>
      </x:c>
      <x:c r="C91" s="20" t="str">
        <x:v>工单数量、状态和基础趋势</x:v>
      </x:c>
      <x:c r="D91" s="50" t="str">
        <x:v>待复验</x:v>
      </x:c>
      <x:c r="E91" s="20" t="str">
        <x:v>原表记录（运行未复核）：历史真实演示核对处理中和已关闭统计通过</x:v>
      </x:c>
      <x:c r="F91" s="20" t="str">
        <x:v>补可复核的测试记录、环境/版本和验收人；确认原文对应范围。高级月报内容在其他项补齐</x:v>
      </x:c>
      <x:c r="G91" s="35" t="str">
        <x:v>待确认</x:v>
      </x:c>
      <x:c r="H91" s="35" t="str">
        <x:v>补历史证据并复验</x:v>
      </x:c>
      <x:c r="I91" s="35" t="str">
        <x:v>回归待排</x:v>
      </x:c>
      <x:c r="J91" s="48"/>
      <x:c r="K91" s="48"/>
      <x:c r="L91" s="49" t="n">
        <x:v>0</x:v>
      </x:c>
      <x:c r="M91" s="20" t="str">
        <x:v>后端A + 前端A + QA</x:v>
      </x:c>
      <x:c r="N91" s="20" t="str">
        <x:v>无需新增输入</x:v>
      </x:c>
      <x:c r="O91" s="20" t="str">
        <x:v>基础报表与工单状态一致</x:v>
      </x:c>
      <x:c r="P91" s="20" t="str">
        <x:v>RPT-002</x:v>
      </x:c>
      <x:c r="Q91" s="23" t="str">
        <x:v>待分配</x:v>
      </x:c>
      <x:c r="R91" s="48"/>
      <x:c r="S91" s="23" t="str">
        <x:v>工单数量和状态统计只是 RPT-002 月报内容的一部分，不能单独证明完整月报验收通过。
原表标为已完成，未附可复核运行证据，现标待复验；不是断言原功能失效。</x:v>
      </x:c>
      <x:c r="T91" s="34" t="str">
        <x:v>原文报告的基础子集</x:v>
      </x:c>
      <x:c r="U91" s="34" t="str">
        <x:v>原表陈述，未复核</x:v>
      </x:c>
      <x:c r="V91" s="34" t="str">
        <x:v>未完成端到端验收</x:v>
      </x:c>
      <x:c r="W91" s="51" t="str">
        <x:v>未确认</x:v>
      </x:c>
    </x:row>
  </x:sheetData>
  <x:conditionalFormatting sqref="D2:D91">
    <x:cfRule type="containsText" dxfId="0" priority="1" operator="containsText" text="部分完成"/>
    <x:cfRule type="containsText" dxfId="1" priority="2" operator="containsText" text="待完成"/>
    <x:cfRule type="containsText" dxfId="2" priority="3" operator="containsText" text="待复验"/>
    <x:cfRule type="containsText" dxfId="3" priority="4" operator="containsText" text="待验证"/>
  </x:conditionalFormatting>
  <x:dataValidations count="4">
    <x:dataValidation type="list" allowBlank="1" showInputMessage="1" showErrorMessage="1" sqref="Q2:Q91">
      <x:formula1>"待分配,后端A,后端B,前端A,前端B,QA,产品/项目负责人,外部协作"</x:formula1>
    </x:dataValidation>
    <x:dataValidation type="list" sqref="D2:D91">
      <x:formula1>"已完成,部分完成,待完成,待验证,待复验"</x:formula1>
    </x:dataValidation>
    <x:dataValidation type="list" sqref="W2:W91">
      <x:formula1>"未确认,已确认"</x:formula1>
    </x:dataValidation>
    <x:dataValidation type="list" sqref="V2:V91">
      <x:formula1>"未完成端到端验收,验收通过,验收失败"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0d3a5bd42c4f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9" defaultRowHeight="14"/>
  <x:cols>
    <x:col min="1" max="1" width="11" hidden="0" customWidth="1"/>
    <x:col min="2" max="2" width="55" hidden="0" customWidth="1"/>
    <x:col min="3" max="4" width="13.709091186523438" customWidth="1"/>
    <x:col min="5" max="5" width="73" hidden="0" customWidth="1"/>
    <x:col min="6" max="7" width="11.709091186523438" customWidth="1"/>
    <x:col min="8" max="8" width="82" hidden="0" customWidth="1"/>
    <x:col min="9" max="9" width="39" hidden="0" customWidth="1"/>
    <x:col min="3" max="3" width="23" hidden="0" customWidth="1"/>
    <x:col min="4" max="4" width="23" hidden="0" customWidth="1"/>
    <x:col min="6" max="6" width="13" hidden="0" customWidth="1"/>
    <x:col min="7" max="7" width="24" hidden="0" customWidth="1"/>
  </x:cols>
  <x:sheetData>
    <x:row r="1" ht="30" customHeight="1">
      <x:c r="A1" s="46" t="s">
        <x:v>13</x:v>
      </x:c>
      <x:c r="B1" s="46" t="s">
        <x:v>14</x:v>
      </x:c>
      <x:c r="C1" s="46" t="str">
        <x:v>原拟开始（未确认）</x:v>
      </x:c>
      <x:c r="D1" s="46" t="str">
        <x:v>原拟结束（未确认）</x:v>
      </x:c>
      <x:c r="E1" s="46" t="str">
        <x:v>原拟功能范围（修订名称）</x:v>
      </x:c>
      <x:c r="F1" s="46" t="s">
        <x:v>15</x:v>
      </x:c>
      <x:c r="G1" s="46" t="str">
        <x:v>原估人日（待重估）</x:v>
      </x:c>
      <x:c r="H1" s="46" t="str">
        <x:v>修订后门槛及排期风险</x:v>
      </x:c>
      <x:c r="I1" s="46" t="s">
        <x:v>16</x:v>
      </x:c>
    </x:row>
    <x:row r="2" ht="136" customHeight="1">
      <x:c r="A2" s="65" t="s">
        <x:v>17</x:v>
      </x:c>
      <x:c r="B2" s="57" t="s">
        <x:v>18</x:v>
      </x:c>
      <x:c r="C2" s="70">
        <x:v>46279</x:v>
      </x:c>
      <x:c r="D2" s="70">
        <x:v>46290</x:v>
      </x:c>
      <x:c r="E2" s="57" t="str">
        <x:v>FUN-008 电话接待人工建单与来源保留
FUN-031 专家交接与接收确认
FUN-037 首响、解决目标及现有接单计时
FUN-083 上传文件类型和大小限制
FUN-004 统一身份登录及可信代理链路
FUN-021 到期自动关闭
FUN-025 重复工单合并与关系保留
FUN-028 产品支持组及工程师配置
FUN-054 机器人内容与流程审批回滚</x:v>
      </x:c>
      <x:c r="F2" s="65" t="n">
        <x:f>COUNTIFS('功能完成排期'!I2:I91,A2)</x:f>
        <x:v>9</x:v>
      </x:c>
      <x:c r="G2" s="65" t="n">
        <x:f>SUMIFS('功能完成排期'!L2:L91,'功能完成排期'!I2:I91,A2)</x:f>
        <x:v>27</x:v>
      </x:c>
      <x:c r="H2" s="57" t="str">
        <x:v>原 9 项先复核并登记缺口，不能承诺均在 S0 完成。电话、专家、登录、SLA、合并和 Bot 治理需要补实现/重估；原 12 项待复验另行安排。</x:v>
      </x:c>
      <x:c r="I2" s="57" t="s">
        <x:v>19</x:v>
      </x:c>
    </x:row>
    <x:row r="3" ht="80" customHeight="1">
      <x:c r="A3" s="65" t="s">
        <x:v>20</x:v>
      </x:c>
      <x:c r="B3" s="57" t="s">
        <x:v>21</x:v>
      </x:c>
      <x:c r="C3" s="70">
        <x:v>46293</x:v>
      </x:c>
      <x:c r="D3" s="70">
        <x:v>46304</x:v>
      </x:c>
      <x:c r="E3" s="57" t="str">
        <x:v>FUN-003 按企业与角色限制访问
FUN-005 多因素登录验证
FUN-013 外部API或Webhook受理
FUN-014 缺少必要信息时标记和补充
FUN-038 标准/增强/关键服务目标套餐</x:v>
      </x:c>
      <x:c r="F3" s="65" t="n">
        <x:f>COUNTIFS('功能完成排期'!I2:I91,A3)</x:f>
        <x:v>5</x:v>
      </x:c>
      <x:c r="G3" s="65" t="n">
        <x:f>SUMIFS('功能完成排期'!L2:L91,'功能完成排期'!I2:I91,A3)</x:f>
        <x:v>50</x:v>
      </x:c>
      <x:c r="H3" s="57" t="str">
        <x:v>原拟日期尚未确认。逐项满足修订后的验收场景并留证；先确认前置依赖、外部资源、团队容量和架构差异，失败修复须另估。</x:v>
      </x:c>
      <x:c r="I3" s="57" t="s">
        <x:v>22</x:v>
      </x:c>
    </x:row>
    <x:row r="4" ht="66" customHeight="1">
      <x:c r="A4" s="65" t="s">
        <x:v>23</x:v>
      </x:c>
      <x:c r="B4" s="57" t="s">
        <x:v>24</x:v>
      </x:c>
      <x:c r="C4" s="70">
        <x:v>46307</x:v>
      </x:c>
      <x:c r="D4" s="70">
        <x:v>46318</x:v>
      </x:c>
      <x:c r="E4" s="57" t="str">
        <x:v>FUN-006 人员入职、调岗、离职撤权
FUN-010 邮件收信自动建单
FUN-063 邮件提醒及投递失败处理
FUN-090 外部系统独立服务账号与短期凭据</x:v>
      </x:c>
      <x:c r="F4" s="65" t="n">
        <x:f>COUNTIFS('功能完成排期'!I2:I91,A4)</x:f>
        <x:v>4</x:v>
      </x:c>
      <x:c r="G4" s="65" t="n">
        <x:f>SUMIFS('功能完成排期'!L2:L91,'功能完成排期'!I2:I91,A4)</x:f>
        <x:v>49</x:v>
      </x:c>
      <x:c r="H4" s="57" t="str">
        <x:v>原拟日期尚未确认。逐项满足修订后的验收场景并留证；先确认前置依赖、外部资源、团队容量和架构差异，失败修复须另估。</x:v>
      </x:c>
      <x:c r="I4" s="57" t="s">
        <x:v>25</x:v>
      </x:c>
    </x:row>
    <x:row r="5" ht="46" customHeight="1">
      <x:c r="A5" s="65" t="s">
        <x:v>26</x:v>
      </x:c>
      <x:c r="B5" s="57" t="s">
        <x:v>27</x:v>
      </x:c>
      <x:c r="C5" s="70">
        <x:v>46321</x:v>
      </x:c>
      <x:c r="D5" s="70">
        <x:v>46332</x:v>
      </x:c>
      <x:c r="E5" s="57" t="str">
        <x:v>FUN-011 回复邮件匹配原工单
FUN-022 标准工单类型及状态</x:v>
      </x:c>
      <x:c r="F5" s="65" t="n">
        <x:f>COUNTIFS('功能完成排期'!I2:I91,A5)</x:f>
        <x:v>2</x:v>
      </x:c>
      <x:c r="G5" s="65" t="n">
        <x:f>SUMIFS('功能完成排期'!L2:L91,'功能完成排期'!I2:I91,A5)</x:f>
        <x:v>48</x:v>
      </x:c>
      <x:c r="H5" s="57" t="str">
        <x:v>原拟日期尚未确认。逐项满足修订后的验收场景并留证；先确认前置依赖、外部资源、团队容量和架构差异，失败修复须另估。</x:v>
      </x:c>
      <x:c r="I5" s="57" t="s">
        <x:v>22</x:v>
      </x:c>
    </x:row>
    <x:row r="6" ht="80" customHeight="1">
      <x:c r="A6" s="65" t="s">
        <x:v>28</x:v>
      </x:c>
      <x:c r="B6" s="57" t="s">
        <x:v>29</x:v>
      </x:c>
      <x:c r="C6" s="70">
        <x:v>46335</x:v>
      </x:c>
      <x:c r="D6" s="70">
        <x:v>46346</x:v>
      </x:c>
      <x:c r="E6" s="57" t="str">
        <x:v>FUN-012 自动回复、退信防循环
FUN-023 P1-P4优先级判定与复核
FUN-024 持续保留行政负责人
FUN-007 应急管理员使用审批
FUN-085 操作记录和审计查询</x:v>
      </x:c>
      <x:c r="F6" s="65" t="n">
        <x:f>COUNTIFS('功能完成排期'!I2:I91,A6)</x:f>
        <x:v>5</x:v>
      </x:c>
      <x:c r="G6" s="65" t="n">
        <x:f>SUMIFS('功能完成排期'!L2:L91,'功能完成排期'!I2:I91,A6)</x:f>
        <x:v>48</x:v>
      </x:c>
      <x:c r="H6" s="57" t="str">
        <x:v>原拟日期尚未确认。逐项满足修订后的验收场景并留证；先确认前置依赖、外部资源、团队容量和架构差异，失败修复须另估。</x:v>
      </x:c>
      <x:c r="I6" s="57" t="s">
        <x:v>22</x:v>
      </x:c>
    </x:row>
    <x:row r="7" ht="52" customHeight="1">
      <x:c r="A7" s="65" t="s">
        <x:v>30</x:v>
      </x:c>
      <x:c r="B7" s="57" t="s">
        <x:v>31</x:v>
      </x:c>
      <x:c r="C7" s="70">
        <x:v>46349</x:v>
      </x:c>
      <x:c r="D7" s="70">
        <x:v>46360</x:v>
      </x:c>
      <x:c r="E7" s="57" t="str">
        <x:v>FUN-026 多个用户问题关联同一事件
FUN-039 营业时间、节假日及时区
FUN-027 重大故障协调与沟通审批</x:v>
      </x:c>
      <x:c r="F7" s="65" t="n">
        <x:f>COUNTIFS('功能完成排期'!I2:I91,A7)</x:f>
        <x:v>3</x:v>
      </x:c>
      <x:c r="G7" s="65" t="n">
        <x:f>SUMIFS('功能完成排期'!L2:L91,'功能完成排期'!I2:I91,A7)</x:f>
        <x:v>48</x:v>
      </x:c>
      <x:c r="H7" s="57" t="str">
        <x:v>原拟日期尚未确认。逐项满足修订后的验收场景并留证；先确认前置依赖、外部资源、团队容量和架构差异，失败修复须另估。</x:v>
      </x:c>
      <x:c r="I7" s="57" t="s">
        <x:v>22</x:v>
      </x:c>
    </x:row>
    <x:row r="8" ht="52" customHeight="1">
      <x:c r="A8" s="65" t="s">
        <x:v>32</x:v>
      </x:c>
      <x:c r="B8" s="57" t="s">
        <x:v>33</x:v>
      </x:c>
      <x:c r="C8" s="70">
        <x:v>46363</x:v>
      </x:c>
      <x:c r="D8" s="70">
        <x:v>46374</x:v>
      </x:c>
      <x:c r="E8" s="57" t="str">
        <x:v>FUN-040 端到端与己方责任双时钟
FUN-041 受控暂停与恢复
FUN-042 普通等待不暂停，批准暂停留证据</x:v>
      </x:c>
      <x:c r="F8" s="65" t="n">
        <x:f>COUNTIFS('功能完成排期'!I2:I91,A8)</x:f>
        <x:v>3</x:v>
      </x:c>
      <x:c r="G8" s="65" t="n">
        <x:f>SUMIFS('功能完成排期'!L2:L91,'功能完成排期'!I2:I91,A8)</x:f>
        <x:v>46</x:v>
      </x:c>
      <x:c r="H8" s="57" t="str">
        <x:v>原拟日期尚未确认。逐项满足修订后的验收场景并留证；先确认前置依赖、外部资源、团队容量和架构差异，失败修复须另估。</x:v>
      </x:c>
      <x:c r="I8" s="57" t="s">
        <x:v>22</x:v>
      </x:c>
    </x:row>
    <x:row r="9" ht="80" customHeight="1">
      <x:c r="A9" s="65" t="s">
        <x:v>34</x:v>
      </x:c>
      <x:c r="B9" s="57" t="s">
        <x:v>35</x:v>
      </x:c>
      <x:c r="C9" s="70">
        <x:v>46377</x:v>
      </x:c>
      <x:c r="D9" s="70">
        <x:v>46388</x:v>
      </x:c>
      <x:c r="E9" s="57" t="str">
        <x:v>FUN-043 补齐 SLA 六类目标与联合验收
FUN-044 P1/P2即将违约自动升级
FUN-048 知识审批、有效期、撤回限制
FUN-049 知识版本与工单使用效果
FUN-045 调整服务目标前模拟影响</x:v>
      </x:c>
      <x:c r="F9" s="65" t="n">
        <x:f>COUNTIFS('功能完成排期'!I2:I91,A9)</x:f>
        <x:v>5</x:v>
      </x:c>
      <x:c r="G9" s="65" t="n">
        <x:f>SUMIFS('功能完成排期'!L2:L91,'功能完成排期'!I2:I91,A9)</x:f>
        <x:v>42</x:v>
      </x:c>
      <x:c r="H9" s="57" t="str">
        <x:v>原拟日期尚未确认。逐项满足修订后的验收场景并留证；先确认前置依赖、外部资源、团队容量和架构差异，失败修复须另估。</x:v>
      </x:c>
      <x:c r="I9" s="57" t="s">
        <x:v>19</x:v>
      </x:c>
    </x:row>
    <x:row r="10" ht="80" customHeight="1">
      <x:c r="A10" s="65" t="s">
        <x:v>36</x:v>
      </x:c>
      <x:c r="B10" s="57" t="s">
        <x:v>37</x:v>
      </x:c>
      <x:c r="C10" s="70">
        <x:v>46391</x:v>
      </x:c>
      <x:c r="D10" s="70">
        <x:v>46402</x:v>
      </x:c>
      <x:c r="E10" s="57" t="str">
        <x:v>FUN-050 已知错误与临时解决办法
FUN-052 意图分流与结构化信息采集
FUN-053 低置信度、连续失败强制转人工
FUN-055 明确机器人身份及退出自动回复
FUN-051 从工单产生知识改进候选</x:v>
      </x:c>
      <x:c r="F10" s="65" t="n">
        <x:f>COUNTIFS('功能完成排期'!I2:I91,A10)</x:f>
        <x:v>5</x:v>
      </x:c>
      <x:c r="G10" s="65" t="n">
        <x:f>SUMIFS('功能完成排期'!L2:L91,'功能完成排期'!I2:I91,A10)</x:f>
        <x:v>50</x:v>
      </x:c>
      <x:c r="H10" s="57" t="str">
        <x:v>原拟日期尚未确认。逐项满足修订后的验收场景并留证；先确认前置依赖、外部资源、团队容量和架构差异，失败修复须另估。</x:v>
      </x:c>
      <x:c r="I10" s="57" t="s">
        <x:v>38</x:v>
      </x:c>
    </x:row>
    <x:row r="11" ht="80" customHeight="1">
      <x:c r="A11" s="65" t="s">
        <x:v>39</x:v>
      </x:c>
      <x:c r="B11" s="57" t="s">
        <x:v>40</x:v>
      </x:c>
      <x:c r="C11" s="70">
        <x:v>46405</x:v>
      </x:c>
      <x:c r="D11" s="70">
        <x:v>46416</x:v>
      </x:c>
      <x:c r="E11" s="57" t="str">
        <x:v>FUN-029 服务与组件支持目录
FUN-030 外部专家、合同及OLA配置
FUN-056 阻止退款、账户等高风险自动动作
FUN-034 目录生效版本与历史引用
FUN-061 英文界面及英文自动欢迎</x:v>
      </x:c>
      <x:c r="F11" s="65" t="n">
        <x:f>COUNTIFS('功能完成排期'!I2:I91,A11)</x:f>
        <x:v>5</x:v>
      </x:c>
      <x:c r="G11" s="65" t="n">
        <x:f>SUMIFS('功能完成排期'!L2:L91,'功能完成排期'!I2:I91,A11)</x:f>
        <x:v>44</x:v>
      </x:c>
      <x:c r="H11" s="57" t="str">
        <x:v>原拟日期尚未确认。逐项满足修订后的验收场景并留证；先确认前置依赖、外部资源、团队容量和架构差异，失败修复须另估。</x:v>
      </x:c>
      <x:c r="I11" s="57" t="s">
        <x:v>41</x:v>
      </x:c>
    </x:row>
    <x:row r="12" ht="66" customHeight="1">
      <x:c r="A12" s="65" t="s">
        <x:v>42</x:v>
      </x:c>
      <x:c r="B12" s="57" t="s">
        <x:v>43</x:v>
      </x:c>
      <x:c r="C12" s="70">
        <x:v>46419</x:v>
      </x:c>
      <x:c r="D12" s="70">
        <x:v>46430</x:v>
      </x:c>
      <x:c r="E12" s="57" t="str">
        <x:v>FUN-032 专家回交条件检查
FUN-033 专家等待、催办与升级
FUN-035 资源不足时限制服务
FUN-036 目录变更触发就绪复查</x:v>
      </x:c>
      <x:c r="F12" s="65" t="n">
        <x:f>COUNTIFS('功能完成排期'!I2:I91,A12)</x:f>
        <x:v>4</x:v>
      </x:c>
      <x:c r="G12" s="65" t="n">
        <x:f>SUMIFS('功能完成排期'!L2:L91,'功能完成排期'!I2:I91,A12)</x:f>
        <x:v>38</x:v>
      </x:c>
      <x:c r="H12" s="57" t="str">
        <x:v>原拟日期尚未确认。逐项满足修订后的验收场景并留证；先确认前置依赖、外部资源、团队容量和架构差异，失败修复须另估。</x:v>
      </x:c>
      <x:c r="I12" s="57" t="s">
        <x:v>38</x:v>
      </x:c>
    </x:row>
    <x:row r="13" ht="46" customHeight="1">
      <x:c r="A13" s="65" t="s">
        <x:v>44</x:v>
      </x:c>
      <x:c r="B13" s="57" t="s">
        <x:v>45</x:v>
      </x:c>
      <x:c r="C13" s="70">
        <x:v>46433</x:v>
      </x:c>
      <x:c r="D13" s="70">
        <x:v>46444</x:v>
      </x:c>
      <x:c r="E13" s="57" t="str">
        <x:v>FUN-062 阿拉伯语、RTL及语言选择
FUN-057 WhatsApp客户接待</x:v>
      </x:c>
      <x:c r="F13" s="65" t="n">
        <x:f>COUNTIFS('功能完成排期'!I2:I91,A13)</x:f>
        <x:v>2</x:v>
      </x:c>
      <x:c r="G13" s="65" t="n">
        <x:f>SUMIFS('功能完成排期'!L2:L91,'功能完成排期'!I2:I91,A13)</x:f>
        <x:v>55</x:v>
      </x:c>
      <x:c r="H13" s="57" t="str">
        <x:v>原拟日期尚未确认。逐项满足修订后的验收场景并留证；先确认前置依赖、外部资源、团队容量和架构差异，失败修复须另估。</x:v>
      </x:c>
      <x:c r="I13" s="57" t="s">
        <x:v>41</x:v>
      </x:c>
    </x:row>
    <x:row r="14" ht="66" customHeight="1">
      <x:c r="A14" s="65" t="s">
        <x:v>46</x:v>
      </x:c>
      <x:c r="B14" s="57" t="s">
        <x:v>47</x:v>
      </x:c>
      <x:c r="C14" s="70">
        <x:v>46447</x:v>
      </x:c>
      <x:c r="D14" s="70">
        <x:v>46458</x:v>
      </x:c>
      <x:c r="E14" s="57" t="str">
        <x:v>FUN-058 WhatsApp转人工和工单关联
FUN-059 投递状态、重复消息与失败重试
FUN-060 按企业开关数字渠道和Bot
FUN-064 检查服务可用性</x:v>
      </x:c>
      <x:c r="F14" s="65" t="n">
        <x:f>COUNTIFS('功能完成排期'!I2:I91,A14)</x:f>
        <x:v>4</x:v>
      </x:c>
      <x:c r="G14" s="65" t="n">
        <x:f>SUMIFS('功能完成排期'!L2:L91,'功能完成排期'!I2:I91,A14)</x:f>
        <x:v>32</x:v>
      </x:c>
      <x:c r="H14" s="57" t="str">
        <x:v>原拟日期尚未确认。逐项满足修订后的验收场景并留证；先确认前置依赖、外部资源、团队容量和架构差异，失败修复须另估。</x:v>
      </x:c>
      <x:c r="I14" s="57" t="s">
        <x:v>19</x:v>
      </x:c>
    </x:row>
    <x:row r="15" ht="52" customHeight="1">
      <x:c r="A15" s="65" t="s">
        <x:v>48</x:v>
      </x:c>
      <x:c r="B15" s="57" t="s">
        <x:v>49</x:v>
      </x:c>
      <x:c r="C15" s="70">
        <x:v>46461</x:v>
      </x:c>
      <x:c r="D15" s="70">
        <x:v>46472</x:v>
      </x:c>
      <x:c r="E15" s="57" t="str">
        <x:v>FUN-065 告警创建或关联故障事件
FUN-067 告警恢复不直接关闭客户工单
FUN-066 告警归并、静默和维护窗口</x:v>
      </x:c>
      <x:c r="F15" s="65" t="n">
        <x:f>COUNTIFS('功能完成排期'!I2:I91,A15)</x:f>
        <x:v>3</x:v>
      </x:c>
      <x:c r="G15" s="65" t="n">
        <x:f>SUMIFS('功能完成排期'!L2:L91,'功能完成排期'!I2:I91,A15)</x:f>
        <x:v>44</x:v>
      </x:c>
      <x:c r="H15" s="57" t="str">
        <x:v>原拟日期尚未确认。逐项满足修订后的验收场景并留证；先确认前置依赖、外部资源、团队容量和架构差异，失败修复须另估。</x:v>
      </x:c>
      <x:c r="I15" s="57" t="s">
        <x:v>22</x:v>
      </x:c>
    </x:row>
    <x:row r="16" ht="66" customHeight="1">
      <x:c r="A16" s="65" t="s">
        <x:v>50</x:v>
      </x:c>
      <x:c r="B16" s="57" t="s">
        <x:v>51</x:v>
      </x:c>
      <x:c r="C16" s="70">
        <x:v>46475</x:v>
      </x:c>
      <x:c r="D16" s="70">
        <x:v>46486</x:v>
      </x:c>
      <x:c r="E16" s="57" t="str">
        <x:v>FUN-069 按规则抽取工单
FUN-078 服务量及超量依据
FUN-079 统计数字追溯与重新计算
FUN-068 监控覆盖缺口显示</x:v>
      </x:c>
      <x:c r="F16" s="65" t="n">
        <x:f>COUNTIFS('功能完成排期'!I2:I91,A16)</x:f>
        <x:v>4</x:v>
      </x:c>
      <x:c r="G16" s="65" t="n">
        <x:f>SUMIFS('功能完成排期'!L2:L91,'功能完成排期'!I2:I91,A16)</x:f>
        <x:v>46</x:v>
      </x:c>
      <x:c r="H16" s="57" t="str">
        <x:v>原拟日期尚未确认。逐项满足修订后的验收场景并留证；先确认前置依赖、外部资源、团队容量和架构差异，失败修复须另估。</x:v>
      </x:c>
      <x:c r="I16" s="57" t="s">
        <x:v>19</x:v>
      </x:c>
    </x:row>
    <x:row r="17" ht="46" customHeight="1">
      <x:c r="A17" s="65" t="s">
        <x:v>52</x:v>
      </x:c>
      <x:c r="B17" s="57" t="s">
        <x:v>53</x:v>
      </x:c>
      <x:c r="C17" s="70">
        <x:v>46489</x:v>
      </x:c>
      <x:c r="D17" s="70">
        <x:v>46500</x:v>
      </x:c>
      <x:c r="E17" s="57" t="str">
        <x:v>FUN-070 版本化评分卡
FUN-071 评分、缺陷与证据评审</x:v>
      </x:c>
      <x:c r="F17" s="65" t="n">
        <x:f>COUNTIFS('功能完成排期'!I2:I91,A17)</x:f>
        <x:v>2</x:v>
      </x:c>
      <x:c r="G17" s="65" t="n">
        <x:f>SUMIFS('功能完成排期'!L2:L91,'功能完成排期'!I2:I91,A17)</x:f>
        <x:v>44</x:v>
      </x:c>
      <x:c r="H17" s="57" t="str">
        <x:v>原拟日期尚未确认。逐项满足修订后的验收场景并留证；先确认前置依赖、外部资源、团队容量和架构差异，失败修复须另估。</x:v>
      </x:c>
      <x:c r="I17" s="57" t="s">
        <x:v>38</x:v>
      </x:c>
    </x:row>
    <x:row r="18" ht="52" customHeight="1">
      <x:c r="A18" s="65" t="s">
        <x:v>54</x:v>
      </x:c>
      <x:c r="B18" s="57" t="s">
        <x:v>55</x:v>
      </x:c>
      <x:c r="C18" s="70">
        <x:v>46503</x:v>
      </x:c>
      <x:c r="D18" s="70">
        <x:v>46514</x:v>
      </x:c>
      <x:c r="E18" s="57" t="str">
        <x:v>FUN-072 争议、辅导和整改跟踪
FUN-073 企业、团队、人员等质量分析
FUN-074 严重安全缺陷转调查</x:v>
      </x:c>
      <x:c r="F18" s="65" t="n">
        <x:f>COUNTIFS('功能完成排期'!I2:I91,A18)</x:f>
        <x:v>3</x:v>
      </x:c>
      <x:c r="G18" s="65" t="n">
        <x:f>SUMIFS('功能完成排期'!L2:L91,'功能完成排期'!I2:I91,A18)</x:f>
        <x:v>36</x:v>
      </x:c>
      <x:c r="H18" s="57" t="str">
        <x:v>原拟日期尚未确认。逐项满足修订后的验收场景并留证；先确认前置依赖、外部资源、团队容量和架构差异，失败修复须另估。</x:v>
      </x:c>
      <x:c r="I18" s="57" t="s">
        <x:v>38</x:v>
      </x:c>
    </x:row>
    <x:row r="19" ht="46" customHeight="1">
      <x:c r="A19" s="65" t="s">
        <x:v>56</x:v>
      </x:c>
      <x:c r="B19" s="57" t="s">
        <x:v>57</x:v>
      </x:c>
      <x:c r="C19" s="70">
        <x:v>46517</x:v>
      </x:c>
      <x:c r="D19" s="70">
        <x:v>46528</x:v>
      </x:c>
      <x:c r="E19" s="57" t="str">
        <x:v>FUN-076 完整月度服务报告
FUN-077 PDF、Excel、CSV报告导出</x:v>
      </x:c>
      <x:c r="F19" s="65" t="n">
        <x:f>COUNTIFS('功能完成排期'!I2:I91,A19)</x:f>
        <x:v>2</x:v>
      </x:c>
      <x:c r="G19" s="65" t="n">
        <x:f>SUMIFS('功能完成排期'!L2:L91,'功能完成排期'!I2:I91,A19)</x:f>
        <x:v>43</x:v>
      </x:c>
      <x:c r="H19" s="57" t="str">
        <x:v>原拟日期尚未确认。逐项满足修订后的验收场景并留证；先确认前置依赖、外部资源、团队容量和架构差异，失败修复须另估。</x:v>
      </x:c>
      <x:c r="I19" s="57" t="s">
        <x:v>22</x:v>
      </x:c>
    </x:row>
    <x:row r="20" ht="80" customHeight="1">
      <x:c r="A20" s="65" t="s">
        <x:v>58</x:v>
      </x:c>
      <x:c r="B20" s="57" t="s">
        <x:v>59</x:v>
      </x:c>
      <x:c r="C20" s="70">
        <x:v>46531</x:v>
      </x:c>
      <x:c r="D20" s="70">
        <x:v>46542</x:v>
      </x:c>
      <x:c r="E20" s="57" t="str">
        <x:v>FUN-084 病毒扫描与隔离区
FUN-080 报告截止时间、版本及更正记录
FUN-081 月报审核、交付和历史归档
FUN-082 按权限临时导出指定字段
FUN-086 数据到期清理</x:v>
      </x:c>
      <x:c r="F20" s="65" t="n">
        <x:f>COUNTIFS('功能完成排期'!I2:I91,A20)</x:f>
        <x:v>5</x:v>
      </x:c>
      <x:c r="G20" s="65" t="n">
        <x:f>SUMIFS('功能完成排期'!L2:L91,'功能完成排期'!I2:I91,A20)</x:f>
        <x:v>48</x:v>
      </x:c>
      <x:c r="H20" s="57" t="str">
        <x:v>原拟日期尚未确认。逐项满足修订后的验收场景并留证；先确认前置依赖、外部资源、团队容量和架构差异，失败修复须另估。</x:v>
      </x:c>
      <x:c r="I20" s="57" t="s">
        <x:v>22</x:v>
      </x:c>
    </x:row>
    <x:row r="21" ht="52" customHeight="1">
      <x:c r="A21" s="65" t="s">
        <x:v>60</x:v>
      </x:c>
      <x:c r="B21" s="57" t="s">
        <x:v>61</x:v>
      </x:c>
      <x:c r="C21" s="70">
        <x:v>46545</x:v>
      </x:c>
      <x:c r="D21" s="70">
        <x:v>46556</x:v>
      </x:c>
      <x:c r="E21" s="57" t="str">
        <x:v>FUN-087 法律保留与暂停删除
FUN-089 完整退出交接包
FUN-088 客户数据请求与限定导出</x:v>
      </x:c>
      <x:c r="F21" s="65" t="n">
        <x:f>COUNTIFS('功能完成排期'!I2:I91,A21)</x:f>
        <x:v>3</x:v>
      </x:c>
      <x:c r="G21" s="65" t="n">
        <x:f>SUMIFS('功能完成排期'!L2:L91,'功能完成排期'!I2:I91,A21)</x:f>
        <x:v>51</x:v>
      </x:c>
      <x:c r="H21" s="57" t="str">
        <x:v>原拟日期尚未确认。逐项满足修订后的验收场景并留证；先确认前置依赖、外部资源、团队容量和架构差异，失败修复须另估。</x:v>
      </x:c>
      <x:c r="I21" s="57" t="s">
        <x:v>22</x:v>
      </x:c>
    </x:row>
    <x:row r="22" ht="46" customHeight="1">
      <x:c r="A22" s="65" t="s">
        <x:v>62</x:v>
      </x:c>
      <x:c r="B22" s="57" t="s">
        <x:v>63</x:v>
      </x:c>
      <x:c r="C22" s="70">
        <x:v>46559</x:v>
      </x:c>
      <x:c r="D22" s="70">
        <x:v>46570</x:v>
      </x:c>
      <x:c r="E22" s="57" t="str">
        <x:v>全链路回归与 UAT（未单独估算）</x:v>
      </x:c>
      <x:c r="F22" s="65" t="n">
        <x:f>COUNTIFS('功能完成排期'!I2:I91,A22)</x:f>
        <x:v>0</x:v>
      </x:c>
      <x:c r="G22" s="65" t="n">
        <x:f>SUMIFS('功能完成排期'!L2:L91,'功能完成排期'!I2:I91,A22)</x:f>
        <x:v>0</x:v>
      </x:c>
      <x:c r="H22" s="57" t="str">
        <x:v>原表本轮记 0 人日，仅因没有功能行归属，不代表回归免费。需补测试/修复容量，取得逐项证据、关闭阻塞缺陷并由业务负责人签收。</x:v>
      </x:c>
      <x:c r="I22" s="57"/>
    </x:row>
  </x:sheetData>
  <x:pageMargins left="0.7" right="0.7" top="0.75" bottom="0.75" header="0.3" footer="0.3"/>
  <x:tableParts count="1">
    <x:tablePart xmlns:r="http://schemas.openxmlformats.org/officeDocument/2006/relationships" r:id="R01ce6645382e4c4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9" defaultRowHeight="14"/>
  <x:cols>
    <x:col min="1" max="1" width="27" hidden="0" customWidth="1"/>
    <x:col min="2" max="2" width="66" hidden="0" customWidth="1"/>
    <x:col min="3" max="3" width="26" hidden="0" customWidth="1"/>
    <x:col min="4" max="4" width="42" hidden="0" customWidth="1"/>
    <x:col min="5" max="5" width="45" hidden="0" customWidth="1"/>
    <x:col min="6" max="8" width="20.709091186523438" customWidth="1"/>
    <x:col min="6" max="6" width="27" hidden="0" customWidth="1"/>
    <x:col min="7" max="7" width="24" hidden="0" customWidth="1"/>
    <x:col min="8" max="8" width="83" hidden="0" customWidth="1"/>
  </x:cols>
  <x:sheetData>
    <x:row r="1" ht="30" customHeight="1">
      <x:c r="A1" s="46" t="s">
        <x:v>64</x:v>
      </x:c>
      <x:c r="B1" s="46" t="s">
        <x:v>65</x:v>
      </x:c>
      <x:c r="C1" s="46" t="str">
        <x:v>原拟最晚时间（未确认）</x:v>
      </x:c>
      <x:c r="D1" s="46" t="s">
        <x:v>66</x:v>
      </x:c>
      <x:c r="E1" s="46" t="s">
        <x:v>67</x:v>
      </x:c>
      <x:c r="F1" s="46" t="s">
        <x:v>68</x:v>
      </x:c>
      <x:c r="G1" s="46" t="str">
        <x:v>准备状态（原表）</x:v>
      </x:c>
      <x:c r="H1" s="46" t="str">
        <x:v>依赖校正与确认事项</x:v>
      </x:c>
    </x:row>
    <x:row r="2" ht="46" customHeight="1">
      <x:c r="A2" s="57" t="s">
        <x:v>69</x:v>
      </x:c>
      <x:c r="B2" s="57" t="s">
        <x:v>70</x:v>
      </x:c>
      <x:c r="C2" s="70">
        <x:v>46290</x:v>
      </x:c>
      <x:c r="D2" s="57" t="s">
        <x:v>71</x:v>
      </x:c>
      <x:c r="E2" s="57" t="s">
        <x:v>72</x:v>
      </x:c>
      <x:c r="F2" s="57" t="s">
        <x:v>73</x:v>
      </x:c>
      <x:c r="G2" s="71" t="s">
        <x:v>74</x:v>
      </x:c>
      <x:c r="H2" s="71" t="str">
        <x:v>原时间等于 S0 结束，但 FUN-004 的身份源/测试账号需在 S0 验证前提供。改期与账号可用性待 IT 确认。</x:v>
      </x:c>
    </x:row>
    <x:row r="3" ht="46" customHeight="1">
      <x:c r="A3" s="57" t="s">
        <x:v>75</x:v>
      </x:c>
      <x:c r="B3" s="57" t="s">
        <x:v>76</x:v>
      </x:c>
      <x:c r="C3" s="70">
        <x:v>46304</x:v>
      </x:c>
      <x:c r="D3" s="57" t="s">
        <x:v>77</x:v>
      </x:c>
      <x:c r="E3" s="57" t="s">
        <x:v>78</x:v>
      </x:c>
      <x:c r="F3" s="57" t="s">
        <x:v>79</x:v>
      </x:c>
      <x:c r="G3" s="71" t="s">
        <x:v>74</x:v>
      </x:c>
      <x:c r="H3" s="71" t="str">
        <x:v>需确认当前实际邮箱配置，不沿用“SMTP 未启用”。收件自动建单与发件通知分开准备及验收。</x:v>
      </x:c>
    </x:row>
    <x:row r="4" ht="46" customHeight="1">
      <x:c r="A4" s="57" t="s">
        <x:v>80</x:v>
      </x:c>
      <x:c r="B4" s="57" t="s">
        <x:v>81</x:v>
      </x:c>
      <x:c r="C4" s="70">
        <x:v>46346</x:v>
      </x:c>
      <x:c r="D4" s="57" t="s">
        <x:v>82</x:v>
      </x:c>
      <x:c r="E4" s="57" t="s">
        <x:v>83</x:v>
      </x:c>
      <x:c r="F4" s="57" t="s">
        <x:v>84</x:v>
      </x:c>
      <x:c r="G4" s="71" t="s">
        <x:v>74</x:v>
      </x:c>
      <x:c r="H4" s="71" t="str">
        <x:v>原时间晚于 S0 的 SLA 验证。S0 前至少准备批准的测试目标、时区/日历、暂停与升级规则。</x:v>
      </x:c>
    </x:row>
    <x:row r="5" ht="46" customHeight="1">
      <x:c r="A5" s="57" t="s">
        <x:v>85</x:v>
      </x:c>
      <x:c r="B5" s="57" t="s">
        <x:v>86</x:v>
      </x:c>
      <x:c r="C5" s="70">
        <x:v>46360</x:v>
      </x:c>
      <x:c r="D5" s="57" t="s">
        <x:v>87</x:v>
      </x:c>
      <x:c r="E5" s="57" t="s">
        <x:v>88</x:v>
      </x:c>
      <x:c r="F5" s="57" t="s">
        <x:v>89</x:v>
      </x:c>
      <x:c r="G5" s="71" t="s">
        <x:v>74</x:v>
      </x:c>
      <x:c r="H5" s="71" t="str">
        <x:v>原时间晚于 S0 的 Bot 发布验证。S0 前需测试用获批知识、敏感意图、阈值和审批账号。</x:v>
      </x:c>
    </x:row>
    <x:row r="6" ht="46" customHeight="1">
      <x:c r="A6" s="57" t="s">
        <x:v>90</x:v>
      </x:c>
      <x:c r="B6" s="57" t="s">
        <x:v>91</x:v>
      </x:c>
      <x:c r="C6" s="70">
        <x:v>46388</x:v>
      </x:c>
      <x:c r="D6" s="57" t="s">
        <x:v>92</x:v>
      </x:c>
      <x:c r="E6" s="57" t="s">
        <x:v>93</x:v>
      </x:c>
      <x:c r="F6" s="57" t="s">
        <x:v>84</x:v>
      </x:c>
      <x:c r="G6" s="71" t="s">
        <x:v>74</x:v>
      </x:c>
      <x:c r="H6" s="71" t="str">
        <x:v>原时间晚于 S0 的专家交接验证。S0 前需测试专家、外部引用、OLA 与交接/回交模板。</x:v>
      </x:c>
    </x:row>
    <x:row r="7" ht="46" customHeight="1">
      <x:c r="A7" s="57" t="s">
        <x:v>94</x:v>
      </x:c>
      <x:c r="B7" s="57" t="s">
        <x:v>95</x:v>
      </x:c>
      <x:c r="C7" s="70">
        <x:v>46402</x:v>
      </x:c>
      <x:c r="D7" s="57" t="s">
        <x:v>96</x:v>
      </x:c>
      <x:c r="E7" s="57" t="s">
        <x:v>97</x:v>
      </x:c>
      <x:c r="F7" s="57" t="s">
        <x:v>98</x:v>
      </x:c>
      <x:c r="G7" s="71" t="s">
        <x:v>74</x:v>
      </x:c>
      <x:c r="H7" s="71" t="str">
        <x:v>先确认采用 Chatwoot Community 与官方 Cloud API；号码/模板、商业责任和 Readiness 批准后才能启用。</x:v>
      </x:c>
    </x:row>
    <x:row r="8" ht="46" customHeight="1">
      <x:c r="A8" s="57" t="s">
        <x:v>99</x:v>
      </x:c>
      <x:c r="B8" s="57" t="s">
        <x:v>100</x:v>
      </x:c>
      <x:c r="C8" s="70">
        <x:v>46402</x:v>
      </x:c>
      <x:c r="D8" s="57" t="s">
        <x:v>101</x:v>
      </x:c>
      <x:c r="E8" s="57" t="s">
        <x:v>102</x:v>
      </x:c>
      <x:c r="F8" s="57" t="s">
        <x:v>103</x:v>
      </x:c>
      <x:c r="G8" s="71" t="s">
        <x:v>74</x:v>
      </x:c>
      <x:c r="H8" s="71" t="str">
        <x:v>日期待确认；阿语须人工审校并检查 RTL、表格、通知及导出，不仅检查翻译字符串。</x:v>
      </x:c>
    </x:row>
    <x:row r="9" ht="46" customHeight="1">
      <x:c r="A9" s="57" t="s">
        <x:v>104</x:v>
      </x:c>
      <x:c r="B9" s="57" t="s">
        <x:v>105</x:v>
      </x:c>
      <x:c r="C9" s="70">
        <x:v>46430</x:v>
      </x:c>
      <x:c r="D9" s="57" t="s">
        <x:v>106</x:v>
      </x:c>
      <x:c r="E9" s="57" t="s">
        <x:v>107</x:v>
      </x:c>
      <x:c r="F9" s="57" t="s">
        <x:v>108</x:v>
      </x:c>
      <x:c r="G9" s="71" t="s">
        <x:v>74</x:v>
      </x:c>
      <x:c r="H9" s="71" t="str">
        <x:v>先批准监控目标与访问范围，禁止制造交易数据风险；真实样本和维护窗口需可复现。</x:v>
      </x:c>
    </x:row>
    <x:row r="10" ht="46" customHeight="1">
      <x:c r="A10" s="57" t="s">
        <x:v>109</x:v>
      </x:c>
      <x:c r="B10" s="57" t="s">
        <x:v>110</x:v>
      </x:c>
      <x:c r="C10" s="70">
        <x:v>46444</x:v>
      </x:c>
      <x:c r="D10" s="57" t="s">
        <x:v>111</x:v>
      </x:c>
      <x:c r="E10" s="57" t="s">
        <x:v>112</x:v>
      </x:c>
      <x:c r="F10" s="57" t="s">
        <x:v>113</x:v>
      </x:c>
      <x:c r="G10" s="71" t="s">
        <x:v>74</x:v>
      </x:c>
      <x:c r="H10" s="71" t="str">
        <x:v>QA 规则/评分卡需版本化；排除薪资、奖金、HR 绩效、考勤排班。</x:v>
      </x:c>
    </x:row>
    <x:row r="11" ht="46" customHeight="1">
      <x:c r="A11" s="57" t="s">
        <x:v>114</x:v>
      </x:c>
      <x:c r="B11" s="57" t="s">
        <x:v>115</x:v>
      </x:c>
      <x:c r="C11" s="70">
        <x:v>46458</x:v>
      </x:c>
      <x:c r="D11" s="57" t="s">
        <x:v>116</x:v>
      </x:c>
      <x:c r="E11" s="57" t="s">
        <x:v>117</x:v>
      </x:c>
      <x:c r="F11" s="57" t="s">
        <x:v>118</x:v>
      </x:c>
      <x:c r="G11" s="71" t="s">
        <x:v>74</x:v>
      </x:c>
      <x:c r="H11" s="71" t="str">
        <x:v>需报告来源、截止水位、模板/查询版本、对账和审批/交付证据，不只提供版式。</x:v>
      </x:c>
    </x:row>
    <x:row r="12" ht="46" customHeight="1">
      <x:c r="A12" s="57" t="s">
        <x:v>119</x:v>
      </x:c>
      <x:c r="B12" s="57" t="s">
        <x:v>120</x:v>
      </x:c>
      <x:c r="C12" s="70">
        <x:v>46486</x:v>
      </x:c>
      <x:c r="D12" s="57" t="s">
        <x:v>121</x:v>
      </x:c>
      <x:c r="E12" s="57" t="s">
        <x:v>122</x:v>
      </x:c>
      <x:c r="F12" s="57" t="s">
        <x:v>123</x:v>
      </x:c>
      <x:c r="G12" s="71" t="s">
        <x:v>74</x:v>
      </x:c>
      <x:c r="H12" s="71" t="str">
        <x:v>上传验证不应等待完整退出政策；S0 前先准备文件类型/大小/压缩规则与安全样本，留存与退出范围另确认。</x:v>
      </x:c>
    </x:row>
  </x:sheetData>
  <x:dataValidations count="1">
    <x:dataValidation type="list" allowBlank="1" showInputMessage="1" showErrorMessage="1" sqref="G2:G12">
      <x:formula1>"待提供,准备中,已提供,不适用,有风险"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a74657b0904151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ColWidth="9" defaultRowHeight="14"/>
  <x:cols>
    <x:col min="1" max="1" width="9" hidden="0" customWidth="1"/>
    <x:col min="2" max="2" width="14" hidden="0" customWidth="1"/>
    <x:col min="3" max="3" width="22" hidden="0" customWidth="1"/>
    <x:col min="4" max="4" width="34" hidden="0" customWidth="1"/>
    <x:col min="5" max="7" width="13.709091186523438" customWidth="1"/>
    <x:col min="8" max="8" width="23" hidden="0" customWidth="1"/>
    <x:col min="9" max="10" width="60.70909118652344" customWidth="1"/>
    <x:col min="5" max="5" width="19" hidden="0" customWidth="1"/>
    <x:col min="6" max="6" width="12" hidden="0" customWidth="1"/>
    <x:col min="7" max="7" width="18" hidden="0" customWidth="1"/>
    <x:col min="9" max="9" width="76" hidden="0" customWidth="1"/>
    <x:col min="10" max="10" width="76" hidden="0" customWidth="1"/>
  </x:cols>
  <x:sheetData>
    <x:row r="1" ht="30" customHeight="1">
      <x:c r="A1" s="46" t="s">
        <x:v>124</x:v>
      </x:c>
      <x:c r="B1" s="46" t="s">
        <x:v>125</x:v>
      </x:c>
      <x:c r="C1" s="46" t="s">
        <x:v>126</x:v>
      </x:c>
      <x:c r="D1" s="46" t="s">
        <x:v>127</x:v>
      </x:c>
      <x:c r="E1" s="46" t="str">
        <x:v>实现判断（非验收）</x:v>
      </x:c>
      <x:c r="F1" s="46" t="s">
        <x:v>128</x:v>
      </x:c>
      <x:c r="G1" s="46" t="str">
        <x:v>原拟迭代</x:v>
      </x:c>
      <x:c r="H1" s="46" t="str">
        <x:v>原拟日期（未确认）</x:v>
      </x:c>
      <x:c r="I1" s="46" t="str">
        <x:v>修订后下一步</x:v>
      </x:c>
      <x:c r="J1" s="46" t="str">
        <x:v>建议验收场景</x:v>
      </x:c>
    </x:row>
    <x:row r="2" ht="52" customHeight="1">
      <x:c r="A2" s="65">
        <x:v>1</x:v>
      </x:c>
      <x:c r="B2" s="65" t="s">
        <x:v>129</x:v>
      </x:c>
      <x:c r="C2" s="57" t="str">
        <x:f>'功能完成排期'!B2</x:f>
        <x:v>接待与工单</x:v>
      </x:c>
      <x:c r="D2" s="57" t="str">
        <x:f>'功能完成排期'!C2</x:f>
        <x:v>电话接待人工建单与来源保留</x:v>
      </x:c>
      <x:c r="E2" s="66" t="str">
        <x:f>'功能完成排期'!D2</x:f>
        <x:v>部分完成</x:v>
      </x:c>
      <x:c r="F2" s="65" t="str">
        <x:f>'功能完成排期'!G2</x:f>
        <x:v>高</x:v>
      </x:c>
      <x:c r="G2" s="65" t="str">
        <x:f>'功能完成排期'!I2</x:f>
        <x:v>S0</x:v>
      </x:c>
      <x:c r="H2" s="70" t="n">
        <x:f>'功能完成排期'!K2</x:f>
        <x:v>46290</x:v>
      </x:c>
      <x:c r="I2" s="67" t="str">
        <x:f>'功能完成排期'!F2</x:f>
        <x:v>补电话渠道选择、原始受理记录标识及项目批准的必填上下文；来电人/号码如何保存须确认，不强行要求 PBX 通话编号。</x:v>
      </x:c>
      <x:c r="J2" s="57" t="str">
        <x:f>'功能完成排期'!O2</x:f>
        <x:v>客服接听后人工建单；详情与接口保留电话渠道、可追溯的受理记录标识；缺少项目必填信息时明确标记。</x:v>
      </x:c>
    </x:row>
    <x:row r="3" ht="52" customHeight="1">
      <x:c r="A3" s="65">
        <x:v>2</x:v>
      </x:c>
      <x:c r="B3" s="65" t="s">
        <x:v>130</x:v>
      </x:c>
      <x:c r="C3" s="57" t="str">
        <x:f>'功能完成排期'!B3</x:f>
        <x:v>专家与服务目录</x:v>
      </x:c>
      <x:c r="D3" s="57" t="str">
        <x:f>'功能完成排期'!C3</x:f>
        <x:v>专家交接与接收确认</x:v>
      </x:c>
      <x:c r="E3" s="66" t="str">
        <x:f>'功能完成排期'!D3</x:f>
        <x:v>部分完成</x:v>
      </x:c>
      <x:c r="F3" s="65" t="str">
        <x:f>'功能完成排期'!G3</x:f>
        <x:v>高</x:v>
      </x:c>
      <x:c r="G3" s="65" t="str">
        <x:f>'功能完成排期'!I3</x:f>
        <x:v>S0</x:v>
      </x:c>
      <x:c r="H3" s="70" t="n">
        <x:f>'功能完成排期'!K3</x:f>
        <x:v>46290</x:v>
      </x:c>
      <x:c r="I3" s="57" t="str">
        <x:f>'功能完成排期'!F3</x:f>
        <x:v>补问题描述、影响、已执行动作、证据、时间线、明确问题；补 Dependency ID、External Reference、接收确认和 OLA 关联。</x:v>
      </x:c>
      <x:c r="J3" s="57" t="str">
        <x:f>'功能完成排期'!O3</x:f>
        <x:v>专家接收六类结构化内容；内部依赖编号、外部引用、接收确认与跟进记录可追查，回交按配置条件验收。</x:v>
      </x:c>
    </x:row>
    <x:row r="4" ht="52" customHeight="1">
      <x:c r="A4" s="65">
        <x:v>3</x:v>
      </x:c>
      <x:c r="B4" s="65" t="s">
        <x:v>131</x:v>
      </x:c>
      <x:c r="C4" s="57" t="str">
        <x:f>'功能完成排期'!B4</x:f>
        <x:v>时限与提醒</x:v>
      </x:c>
      <x:c r="D4" s="57" t="str">
        <x:f>'功能完成排期'!C4</x:f>
        <x:v>首响、解决目标及现有接单计时</x:v>
      </x:c>
      <x:c r="E4" s="66" t="str">
        <x:f>'功能完成排期'!D4</x:f>
        <x:v>部分完成</x:v>
      </x:c>
      <x:c r="F4" s="65" t="str">
        <x:f>'功能完成排期'!G4</x:f>
        <x:v>高</x:v>
      </x:c>
      <x:c r="G4" s="65" t="str">
        <x:f>'功能完成排期'!I4</x:f>
        <x:v>S0</x:v>
      </x:c>
      <x:c r="H4" s="70" t="n">
        <x:f>'功能完成排期'!K4</x:f>
        <x:v>46290</x:v>
      </x:c>
      <x:c r="I4" s="57" t="str">
        <x:f>'功能完成排期'!F4</x:f>
        <x:v>核对首响/解决边界、人工电话首响事件及日历接入；接单计时与原文 Acknowledgement 的含义须确认；六类目标与 FUN-043 联合验收。</x:v>
      </x:c>
      <x:c r="J4" s="57" t="str">
        <x:f>'功能完成排期'!O4</x:f>
        <x:v>首响和解决独立计时/预警/报告；接单扩展按确认口径回归。不得以这三类测试代替 SLA-005 六类目标验收。</x:v>
      </x:c>
    </x:row>
    <x:row r="5" ht="52" customHeight="1">
      <x:c r="A5" s="65">
        <x:v>4</x:v>
      </x:c>
      <x:c r="B5" s="65" t="s">
        <x:v>132</x:v>
      </x:c>
      <x:c r="C5" s="57" t="str">
        <x:f>'功能完成排期'!B5</x:f>
        <x:v>数据与记录</x:v>
      </x:c>
      <x:c r="D5" s="57" t="str">
        <x:f>'功能完成排期'!C5</x:f>
        <x:v>上传文件类型和大小限制</x:v>
      </x:c>
      <x:c r="E5" s="66" t="str">
        <x:f>'功能完成排期'!D5</x:f>
        <x:v>待验证</x:v>
      </x:c>
      <x:c r="F5" s="65" t="str">
        <x:f>'功能完成排期'!G5</x:f>
        <x:v>高</x:v>
      </x:c>
      <x:c r="G5" s="65" t="str">
        <x:f>'功能完成排期'!I5</x:f>
        <x:v>S0</x:v>
      </x:c>
      <x:c r="H5" s="70" t="n">
        <x:f>'功能完成排期'!K5</x:f>
        <x:v>46290</x:v>
      </x:c>
      <x:c r="I5" s="57" t="str">
        <x:f>'功能完成排期'!F5</x:f>
        <x:v>枚举工单、会话、知识、FAQ 导入等入口；测试实际类型伪造、大小边界和压缩限制。类型拒绝与隔离验收同 FUN-084 联动。</x:v>
      </x:c>
      <x:c r="J5" s="57" t="str">
        <x:f>'功能完成排期'!O5</x:f>
        <x:v>所有入口按批准规则处理危险类型、大小边界和异常压缩；应隔离的附件不能只丢弃，隔离证据在 FUN-084 验证。</x:v>
      </x:c>
    </x:row>
    <x:row r="6" ht="52" customHeight="1">
      <x:c r="A6" s="65">
        <x:v>5</x:v>
      </x:c>
      <x:c r="B6" s="65" t="s">
        <x:v>133</x:v>
      </x:c>
      <x:c r="C6" s="57" t="str">
        <x:f>'功能完成排期'!B6</x:f>
        <x:v>账号与权限</x:v>
      </x:c>
      <x:c r="D6" s="57" t="str">
        <x:f>'功能完成排期'!C6</x:f>
        <x:v>统一身份登录及可信代理链路</x:v>
      </x:c>
      <x:c r="E6" s="66" t="str">
        <x:f>'功能完成排期'!D6</x:f>
        <x:v>部分完成</x:v>
      </x:c>
      <x:c r="F6" s="65" t="str">
        <x:f>'功能完成排期'!G6</x:f>
        <x:v>中</x:v>
      </x:c>
      <x:c r="G6" s="65" t="str">
        <x:f>'功能完成排期'!I6</x:f>
        <x:v>S0</x:v>
      </x:c>
      <x:c r="H6" s="70" t="n">
        <x:f>'功能完成排期'!K6</x:f>
        <x:v>46290</x:v>
      </x:c>
      <x:c r="I6" s="57" t="str">
        <x:f>'功能完成排期'!F6</x:f>
        <x:v>先确认遵循原架构还是批准替代方案；补角色/项目映射、可信头防伪、退出和禁用会话失效。</x:v>
      </x:c>
      <x:c r="J6" s="57" t="str">
        <x:f>'功能完成排期'!O6</x:f>
        <x:v>Agent/管理员通过中央身份源进入授权项目；伪造身份头和绕过代理被拒；退出、过期及账号禁用按批准时限生效。</x:v>
      </x:c>
    </x:row>
    <x:row r="7" ht="52" customHeight="1">
      <x:c r="A7" s="65">
        <x:v>6</x:v>
      </x:c>
      <x:c r="B7" s="65" t="s">
        <x:v>134</x:v>
      </x:c>
      <x:c r="C7" s="57" t="str">
        <x:f>'功能完成排期'!B7</x:f>
        <x:v>接待与工单</x:v>
      </x:c>
      <x:c r="D7" s="57" t="str">
        <x:f>'功能完成排期'!C7</x:f>
        <x:v>到期自动关闭</x:v>
      </x:c>
      <x:c r="E7" s="66" t="str">
        <x:f>'功能完成排期'!D7</x:f>
        <x:v>待验证</x:v>
      </x:c>
      <x:c r="F7" s="65" t="str">
        <x:f>'功能完成排期'!G7</x:f>
        <x:v>中</x:v>
      </x:c>
      <x:c r="G7" s="65" t="str">
        <x:f>'功能完成排期'!I7</x:f>
        <x:v>S0</x:v>
      </x:c>
      <x:c r="H7" s="70" t="n">
        <x:f>'功能完成排期'!K7</x:f>
        <x:v>46290</x:v>
      </x:c>
      <x:c r="I7" s="57" t="str">
        <x:f>'功能完成排期'!F7</x:f>
        <x:v>复验关闭窗口、配置关闭、边界时刻及例外；查关闭码、关闭清单和重开历史。关闭前提醒是否必需由项目另行确认。</x:v>
      </x:c>
      <x:c r="J7" s="57" t="str">
        <x:f>'功能完成排期'!O7</x:f>
        <x:v>仅满足已批准窗口和关闭条件的工单自动关闭，保留原因与历史；未到期、未解决及例外不关闭。</x:v>
      </x:c>
    </x:row>
    <x:row r="8" ht="52" customHeight="1">
      <x:c r="A8" s="65">
        <x:v>7</x:v>
      </x:c>
      <x:c r="B8" s="65" t="s">
        <x:v>135</x:v>
      </x:c>
      <x:c r="C8" s="57" t="str">
        <x:f>'功能完成排期'!B8</x:f>
        <x:v>接待与工单</x:v>
      </x:c>
      <x:c r="D8" s="57" t="str">
        <x:f>'功能完成排期'!C8</x:f>
        <x:v>重复工单合并与关系保留</x:v>
      </x:c>
      <x:c r="E8" s="66" t="str">
        <x:f>'功能完成排期'!D8</x:f>
        <x:v>待完成</x:v>
      </x:c>
      <x:c r="F8" s="65" t="str">
        <x:f>'功能完成排期'!G8</x:f>
        <x:v>中</x:v>
      </x:c>
      <x:c r="G8" s="65" t="str">
        <x:f>'功能完成排期'!I8</x:f>
        <x:v>S0</x:v>
      </x:c>
      <x:c r="H8" s="70" t="n">
        <x:f>'功能完成排期'!K8</x:f>
        <x:v>46290</x:v>
      </x:c>
      <x:c r="I8" s="57" t="str">
        <x:f>'功能完成排期'!F8</x:f>
        <x:v>先确认是否有仓库外实现；无则设计并实现合并关系、原 ID/附件归属/历史审计及 SLA 影响，重新估算开发工作量。</x:v>
      </x:c>
      <x:c r="J8" s="57" t="str">
        <x:f>'功能完成排期'!O8</x:f>
        <x:v>合并前后原 Ticket ID 和记录可查；附件归属、沟通、合并审计及 SLA 影响可追溯，不删除原记录。</x:v>
      </x:c>
    </x:row>
    <x:row r="9" ht="52" customHeight="1">
      <x:c r="A9" s="65">
        <x:v>8</x:v>
      </x:c>
      <x:c r="B9" s="65" t="s">
        <x:v>136</x:v>
      </x:c>
      <x:c r="C9" s="57" t="str">
        <x:f>'功能完成排期'!B9</x:f>
        <x:v>专家与服务目录</x:v>
      </x:c>
      <x:c r="D9" s="57" t="str">
        <x:f>'功能完成排期'!C9</x:f>
        <x:v>产品支持组及工程师配置</x:v>
      </x:c>
      <x:c r="E9" s="66" t="str">
        <x:f>'功能完成排期'!D9</x:f>
        <x:v>待验证</x:v>
      </x:c>
      <x:c r="F9" s="65" t="str">
        <x:f>'功能完成排期'!G9</x:f>
        <x:v>中</x:v>
      </x:c>
      <x:c r="G9" s="65" t="str">
        <x:f>'功能完成排期'!I9</x:f>
        <x:v>S0</x:v>
      </x:c>
      <x:c r="H9" s="70" t="n">
        <x:f>'功能完成排期'!K9</x:f>
        <x:v>46290</x:v>
      </x:c>
      <x:c r="I9" s="57" t="str">
        <x:f>'功能完成排期'!F9</x:f>
        <x:v>验证各产品组、Owner及成员变更权限</x:v>
      </x:c>
      <x:c r="J9" s="57" t="str">
        <x:f>'功能完成排期'!O9</x:f>
        <x:v>产品可配置支持组并按该组派单</x:v>
      </x:c>
    </x:row>
    <x:row r="10" ht="52" customHeight="1">
      <x:c r="A10" s="65">
        <x:v>9</x:v>
      </x:c>
      <x:c r="B10" s="65" t="s">
        <x:v>137</x:v>
      </x:c>
      <x:c r="C10" s="57" t="str">
        <x:f>'功能完成排期'!B10</x:f>
        <x:v>知识与机器人</x:v>
      </x:c>
      <x:c r="D10" s="57" t="str">
        <x:f>'功能完成排期'!C10</x:f>
        <x:v>机器人内容与流程审批回滚</x:v>
      </x:c>
      <x:c r="E10" s="66" t="str">
        <x:f>'功能完成排期'!D10</x:f>
        <x:v>部分完成</x:v>
      </x:c>
      <x:c r="F10" s="65" t="str">
        <x:f>'功能完成排期'!G10</x:f>
        <x:v>中</x:v>
      </x:c>
      <x:c r="G10" s="65" t="str">
        <x:f>'功能完成排期'!I10</x:f>
        <x:v>S0</x:v>
      </x:c>
      <x:c r="H10" s="70" t="n">
        <x:f>'功能完成排期'!K10</x:f>
        <x:v>46290</x:v>
      </x:c>
      <x:c r="I10" s="57" t="str">
        <x:f>'功能完成排期'!F10</x:f>
        <x:v>对内容、意图、流程、Fallback 阈值、敏感意图、升级策略六类逐一核对版本快照；区分工作流回滚和运行中 Agent 发布回滚。</x:v>
      </x:c>
      <x:c r="J10" s="57" t="str">
        <x:f>'功能完成排期'!O10</x:f>
        <x:v>六类配置未批准不可上线；发布后修改草稿不影响运行版本；回滚实际运行行为恢复，强制转人工条件仍满足。</x:v>
      </x:c>
    </x:row>
    <x:row r="11" ht="52" customHeight="1">
      <x:c r="A11" s="65">
        <x:v>10</x:v>
      </x:c>
      <x:c r="B11" s="65" t="s">
        <x:v>138</x:v>
      </x:c>
      <x:c r="C11" s="57" t="str">
        <x:f>'功能完成排期'!B11</x:f>
        <x:v>账号与权限</x:v>
      </x:c>
      <x:c r="D11" s="57" t="str">
        <x:f>'功能完成排期'!C11</x:f>
        <x:v>按企业与角色限制访问</x:v>
      </x:c>
      <x:c r="E11" s="68" t="str">
        <x:f>'功能完成排期'!D11</x:f>
        <x:v>部分完成</x:v>
      </x:c>
      <x:c r="F11" s="65" t="str">
        <x:f>'功能完成排期'!G11</x:f>
        <x:v>高</x:v>
      </x:c>
      <x:c r="G11" s="65" t="str">
        <x:f>'功能完成排期'!I11</x:f>
        <x:v>S1</x:v>
      </x:c>
      <x:c r="H11" s="70" t="n">
        <x:f>'功能完成排期'!K11</x:f>
        <x:v>46304</x:v>
      </x:c>
      <x:c r="I11" s="57" t="str">
        <x:f>'功能完成排期'!F11</x:f>
        <x:v>补全L1、Lead/QA、L2、L3、项目管理员、SRE、审计员与服务账号权限</x:v>
      </x:c>
      <x:c r="J11" s="57" t="str">
        <x:f>'功能完成排期'!O11</x:f>
        <x:v>各角色只能查看和操作授权功能</x:v>
      </x:c>
    </x:row>
    <x:row r="12" ht="52" customHeight="1">
      <x:c r="A12" s="65">
        <x:v>11</x:v>
      </x:c>
      <x:c r="B12" s="65" t="s">
        <x:v>139</x:v>
      </x:c>
      <x:c r="C12" s="57" t="str">
        <x:f>'功能完成排期'!B12</x:f>
        <x:v>账号与权限</x:v>
      </x:c>
      <x:c r="D12" s="57" t="str">
        <x:f>'功能完成排期'!C12</x:f>
        <x:v>多因素登录验证</x:v>
      </x:c>
      <x:c r="E12" s="69" t="str">
        <x:f>'功能完成排期'!D12</x:f>
        <x:v>待完成</x:v>
      </x:c>
      <x:c r="F12" s="65" t="str">
        <x:f>'功能完成排期'!G12</x:f>
        <x:v>高</x:v>
      </x:c>
      <x:c r="G12" s="65" t="str">
        <x:f>'功能完成排期'!I12</x:f>
        <x:v>S1</x:v>
      </x:c>
      <x:c r="H12" s="70" t="n">
        <x:f>'功能完成排期'!K12</x:f>
        <x:v>46304</x:v>
      </x:c>
      <x:c r="I12" s="57" t="str">
        <x:f>'功能完成排期'!F12</x:f>
        <x:v>按 IAM-002 落实所有用户强制 MFA；管理员优先 WebAuthn，Agent 可用 TOTP；恢复策略另行批准。</x:v>
      </x:c>
      <x:c r="J12" s="57" t="str">
        <x:f>'功能完成排期'!O12</x:f>
        <x:v>所有用户不能仅凭密码完成登录；按角色验证 WebAuthn/TOTP、强制策略和批准的恢复流程。</x:v>
      </x:c>
    </x:row>
    <x:row r="13" ht="52" customHeight="1">
      <x:c r="A13" s="65">
        <x:v>12</x:v>
      </x:c>
      <x:c r="B13" s="65" t="s">
        <x:v>140</x:v>
      </x:c>
      <x:c r="C13" s="57" t="str">
        <x:f>'功能完成排期'!B13</x:f>
        <x:v>接待与工单</x:v>
      </x:c>
      <x:c r="D13" s="57" t="str">
        <x:f>'功能完成排期'!C13</x:f>
        <x:v>外部API或Webhook受理</x:v>
      </x:c>
      <x:c r="E13" s="68" t="str">
        <x:f>'功能完成排期'!D13</x:f>
        <x:v>部分完成</x:v>
      </x:c>
      <x:c r="F13" s="65" t="str">
        <x:f>'功能完成排期'!G13</x:f>
        <x:v>高</x:v>
      </x:c>
      <x:c r="G13" s="65" t="str">
        <x:f>'功能完成排期'!I13</x:f>
        <x:v>S1</x:v>
      </x:c>
      <x:c r="H13" s="70" t="n">
        <x:f>'功能完成排期'!K13</x:f>
        <x:v>46304</x:v>
      </x:c>
      <x:c r="I13" s="57" t="str">
        <x:f>'功能完成排期'!F13</x:f>
        <x:v>核验项目范围、来源 ID、签名、时间窗和重放防护；同幂等键同载荷返回原结果，不同载荷返回冲突；失败重试与死信可见。</x:v>
      </x:c>
      <x:c r="J13" s="57" t="str">
        <x:f>'功能完成排期'!O13</x:f>
        <x:v>授权来源可建单；重复相同请求不重建，同键不同载荷报冲突；伪造、过期、跨项目请求被拒且失败可追查。</x:v>
      </x:c>
    </x:row>
    <x:row r="14" ht="52" customHeight="1">
      <x:c r="A14" s="65">
        <x:v>13</x:v>
      </x:c>
      <x:c r="B14" s="65" t="s">
        <x:v>141</x:v>
      </x:c>
      <x:c r="C14" s="57" t="str">
        <x:f>'功能完成排期'!B14</x:f>
        <x:v>接待与工单</x:v>
      </x:c>
      <x:c r="D14" s="57" t="str">
        <x:f>'功能完成排期'!C14</x:f>
        <x:v>缺少必要信息时标记和补充</x:v>
      </x:c>
      <x:c r="E14" s="68" t="str">
        <x:f>'功能完成排期'!D14</x:f>
        <x:v>部分完成</x:v>
      </x:c>
      <x:c r="F14" s="65" t="str">
        <x:f>'功能完成排期'!G14</x:f>
        <x:v>高</x:v>
      </x:c>
      <x:c r="G14" s="65" t="str">
        <x:f>'功能完成排期'!I14</x:f>
        <x:v>S1</x:v>
      </x:c>
      <x:c r="H14" s="70" t="n">
        <x:f>'功能完成排期'!K14</x:f>
        <x:v>46304</x:v>
      </x:c>
      <x:c r="I14" s="57" t="str">
        <x:f>'功能完成排期'!F14</x:f>
        <x:v>补按渠道/工单类型要求的信息和明确缺失状态</x:v>
      </x:c>
      <x:c r="J14" s="57" t="str">
        <x:f>'功能完成排期'!O14</x:f>
        <x:v>按渠道、类型、项目策略验证必填上下文；不足时标记 Context Incomplete，禁止填充伪造内容。</x:v>
      </x:c>
    </x:row>
    <x:row r="15" ht="52" customHeight="1">
      <x:c r="A15" s="65">
        <x:v>14</x:v>
      </x:c>
      <x:c r="B15" s="65" t="s">
        <x:v>142</x:v>
      </x:c>
      <x:c r="C15" s="57" t="str">
        <x:f>'功能完成排期'!B15</x:f>
        <x:v>时限与提醒</x:v>
      </x:c>
      <x:c r="D15" s="57" t="str">
        <x:f>'功能完成排期'!C15</x:f>
        <x:v>标准/增强/关键服务目标套餐</x:v>
      </x:c>
      <x:c r="E15" s="68" t="str">
        <x:f>'功能完成排期'!D15</x:f>
        <x:v>部分完成</x:v>
      </x:c>
      <x:c r="F15" s="65" t="str">
        <x:f>'功能完成排期'!G15</x:f>
        <x:v>中</x:v>
      </x:c>
      <x:c r="G15" s="65" t="str">
        <x:f>'功能完成排期'!I15</x:f>
        <x:v>S1</x:v>
      </x:c>
      <x:c r="H15" s="70" t="n">
        <x:f>'功能完成排期'!K15</x:f>
        <x:v>46304</x:v>
      </x:c>
      <x:c r="I15" s="57" t="str">
        <x:f>'功能完成排期'!F15</x:f>
        <x:v>补三类目标套餐、项目选择及历史版本</x:v>
      </x:c>
      <x:c r="J15" s="57" t="str">
        <x:f>'功能完成排期'!O15</x:f>
        <x:v>企业选择不同服务目标后按约定执行</x:v>
      </x:c>
    </x:row>
    <x:row r="16" ht="52" customHeight="1">
      <x:c r="A16" s="65">
        <x:v>15</x:v>
      </x:c>
      <x:c r="B16" s="65" t="s">
        <x:v>143</x:v>
      </x:c>
      <x:c r="C16" s="57" t="str">
        <x:f>'功能完成排期'!B16</x:f>
        <x:v>账号与权限</x:v>
      </x:c>
      <x:c r="D16" s="57" t="str">
        <x:f>'功能完成排期'!C16</x:f>
        <x:v>人员入职、调岗、离职撤权</x:v>
      </x:c>
      <x:c r="E16" s="68" t="str">
        <x:f>'功能完成排期'!D16</x:f>
        <x:v>部分完成</x:v>
      </x:c>
      <x:c r="F16" s="65" t="str">
        <x:f>'功能完成排期'!G16</x:f>
        <x:v>高</x:v>
      </x:c>
      <x:c r="G16" s="65" t="str">
        <x:f>'功能完成排期'!I16</x:f>
        <x:v>S2</x:v>
      </x:c>
      <x:c r="H16" s="70" t="n">
        <x:f>'功能完成排期'!K16</x:f>
        <x:v>46318</x:v>
      </x:c>
      <x:c r="I16" s="57" t="str">
        <x:f>'功能完成排期'!F16</x:f>
        <x:v>补统一账号禁用后的会话失效、授权对账及变更记录</x:v>
      </x:c>
      <x:c r="J16" s="57" t="str">
        <x:f>'功能完成排期'!O16</x:f>
        <x:v>离职账号及已有会话在规定时间内失效</x:v>
      </x:c>
    </x:row>
    <x:row r="17" ht="52" customHeight="1">
      <x:c r="A17" s="65">
        <x:v>16</x:v>
      </x:c>
      <x:c r="B17" s="65" t="s">
        <x:v>144</x:v>
      </x:c>
      <x:c r="C17" s="57" t="str">
        <x:f>'功能完成排期'!B17</x:f>
        <x:v>接待与工单</x:v>
      </x:c>
      <x:c r="D17" s="57" t="str">
        <x:f>'功能完成排期'!C17</x:f>
        <x:v>邮件收信自动建单</x:v>
      </x:c>
      <x:c r="E17" s="69" t="str">
        <x:f>'功能完成排期'!D17</x:f>
        <x:v>待完成</x:v>
      </x:c>
      <x:c r="F17" s="65" t="str">
        <x:f>'功能完成排期'!G17</x:f>
        <x:v>高</x:v>
      </x:c>
      <x:c r="G17" s="65" t="str">
        <x:f>'功能完成排期'!I17</x:f>
        <x:v>S2</x:v>
      </x:c>
      <x:c r="H17" s="70" t="n">
        <x:f>'功能完成排期'!K17</x:f>
        <x:v>46318</x:v>
      </x:c>
      <x:c r="I17" s="57" t="str">
        <x:f>'功能完成排期'!F17</x:f>
        <x:v>增加收件、来源标识、附件关联与建单</x:v>
      </x:c>
      <x:c r="J17" s="57" t="str">
        <x:f>'功能完成排期'!O17</x:f>
        <x:v>新邮件自动建单且保留原始邮件标识</x:v>
      </x:c>
    </x:row>
    <x:row r="18" ht="52" customHeight="1">
      <x:c r="A18" s="65">
        <x:v>17</x:v>
      </x:c>
      <x:c r="B18" s="65" t="s">
        <x:v>145</x:v>
      </x:c>
      <x:c r="C18" s="57" t="str">
        <x:f>'功能完成排期'!B18</x:f>
        <x:v>语言与通知</x:v>
      </x:c>
      <x:c r="D18" s="57" t="str">
        <x:f>'功能完成排期'!C18</x:f>
        <x:v>邮件提醒及投递失败处理</x:v>
      </x:c>
      <x:c r="E18" s="68" t="str">
        <x:f>'功能完成排期'!D18</x:f>
        <x:v>部分完成</x:v>
      </x:c>
      <x:c r="F18" s="65" t="str">
        <x:f>'功能完成排期'!G18</x:f>
        <x:v>高</x:v>
      </x:c>
      <x:c r="G18" s="65" t="str">
        <x:f>'功能完成排期'!I18</x:f>
        <x:v>S2</x:v>
      </x:c>
      <x:c r="H18" s="70" t="n">
        <x:f>'功能完成排期'!K18</x:f>
        <x:v>46318</x:v>
      </x:c>
      <x:c r="I18" s="57" t="str">
        <x:f>'功能完成排期'!F18</x:f>
        <x:v>以当前环境确认 SMTP、批准模板、语言及隐私；验证真实收件、失败重试、阈值告警和人工跟进。</x:v>
      </x:c>
      <x:c r="J18" s="57" t="str">
        <x:f>'功能完成排期'!O18</x:f>
        <x:v>正常收到提醒，失败可见并可重试</x:v>
      </x:c>
    </x:row>
    <x:row r="19" ht="52" customHeight="1">
      <x:c r="A19" s="65">
        <x:v>18</x:v>
      </x:c>
      <x:c r="B19" s="65" t="s">
        <x:v>146</x:v>
      </x:c>
      <x:c r="C19" s="57" t="str">
        <x:f>'功能完成排期'!B19</x:f>
        <x:v>账号与权限</x:v>
      </x:c>
      <x:c r="D19" s="57" t="str">
        <x:f>'功能完成排期'!C19</x:f>
        <x:v>外部系统独立服务账号与短期凭据</x:v>
      </x:c>
      <x:c r="E19" s="68" t="str">
        <x:f>'功能完成排期'!D19</x:f>
        <x:v>部分完成</x:v>
      </x:c>
      <x:c r="F19" s="65" t="str">
        <x:f>'功能完成排期'!G19</x:f>
        <x:v>高</x:v>
      </x:c>
      <x:c r="G19" s="65" t="str">
        <x:f>'功能完成排期'!I19</x:f>
        <x:v>S2</x:v>
      </x:c>
      <x:c r="H19" s="70" t="n">
        <x:f>'功能完成排期'!K19</x:f>
        <x:v>46318</x:v>
      </x:c>
      <x:c r="I19" s="57" t="str">
        <x:f>'功能完成排期'!F19</x:f>
        <x:v>验证独立服务账号、受控凭据或短期 Token、限权、停用和轮换；是否新增 Client Credential 换 Token 接口由实施方案确定。</x:v>
      </x:c>
      <x:c r="J19" s="57" t="str">
        <x:f>'功能完成排期'!O19</x:f>
        <x:v>外部系统使用独立凭据获得限权短期Token；人员账号凭据不能替代；停用或到期后立即拒绝访问</x:v>
      </x:c>
    </x:row>
    <x:row r="20" ht="52" customHeight="1">
      <x:c r="A20" s="65">
        <x:v>19</x:v>
      </x:c>
      <x:c r="B20" s="65" t="s">
        <x:v>147</x:v>
      </x:c>
      <x:c r="C20" s="57" t="str">
        <x:f>'功能完成排期'!B20</x:f>
        <x:v>接待与工单</x:v>
      </x:c>
      <x:c r="D20" s="57" t="str">
        <x:f>'功能完成排期'!C20</x:f>
        <x:v>回复邮件匹配原工单</x:v>
      </x:c>
      <x:c r="E20" s="69" t="str">
        <x:f>'功能完成排期'!D20</x:f>
        <x:v>待完成</x:v>
      </x:c>
      <x:c r="F20" s="65" t="str">
        <x:f>'功能完成排期'!G20</x:f>
        <x:v>高</x:v>
      </x:c>
      <x:c r="G20" s="65" t="str">
        <x:f>'功能完成排期'!I20</x:f>
        <x:v>S3</x:v>
      </x:c>
      <x:c r="H20" s="70" t="n">
        <x:f>'功能完成排期'!K20</x:f>
        <x:v>46332</x:v>
      </x:c>
      <x:c r="I20" s="57" t="str">
        <x:f>'功能完成排期'!F20</x:f>
        <x:v>按邮件线程关联，歧义进入人工待关联</x:v>
      </x:c>
      <x:c r="J20" s="57" t="str">
        <x:f>'功能完成排期'!O20</x:f>
        <x:v>回复更新正确工单，无法匹配时不误关联</x:v>
      </x:c>
    </x:row>
    <x:row r="21" ht="52" customHeight="1">
      <x:c r="A21" s="65">
        <x:v>20</x:v>
      </x:c>
      <x:c r="B21" s="65" t="s">
        <x:v>148</x:v>
      </x:c>
      <x:c r="C21" s="57" t="str">
        <x:f>'功能完成排期'!B21</x:f>
        <x:v>接待与工单</x:v>
      </x:c>
      <x:c r="D21" s="57" t="str">
        <x:f>'功能完成排期'!C21</x:f>
        <x:v>标准工单类型及状态</x:v>
      </x:c>
      <x:c r="E21" s="68" t="str">
        <x:f>'功能完成排期'!D21</x:f>
        <x:v>部分完成</x:v>
      </x:c>
      <x:c r="F21" s="65" t="str">
        <x:f>'功能完成排期'!G21</x:f>
        <x:v>高</x:v>
      </x:c>
      <x:c r="G21" s="65" t="str">
        <x:f>'功能完成排期'!I21</x:f>
        <x:v>S3</x:v>
      </x:c>
      <x:c r="H21" s="70" t="n">
        <x:f>'功能完成排期'!K21</x:f>
        <x:v>46332</x:v>
      </x:c>
      <x:c r="I21" s="57" t="str">
        <x:f>'功能完成排期'!F21</x:f>
        <x:v>补用户Case、Incident、Major Incident、Problem、Known Error、Service Request及状态映射</x:v>
      </x:c>
      <x:c r="J21" s="57" t="str">
        <x:f>'功能完成排期'!O21</x:f>
        <x:v>六类对象、父子/关联/重复/因果关系及十类标准状态均有映射；Restored 与 Resolved 可区分，非法迁移被拒。</x:v>
      </x:c>
    </x:row>
    <x:row r="22" ht="52" customHeight="1">
      <x:c r="A22" s="65">
        <x:v>21</x:v>
      </x:c>
      <x:c r="B22" s="65" t="s">
        <x:v>149</x:v>
      </x:c>
      <x:c r="C22" s="57" t="str">
        <x:f>'功能完成排期'!B22</x:f>
        <x:v>接待与工单</x:v>
      </x:c>
      <x:c r="D22" s="57" t="str">
        <x:f>'功能完成排期'!C22</x:f>
        <x:v>自动回复、退信防循环</x:v>
      </x:c>
      <x:c r="E22" s="69" t="str">
        <x:f>'功能完成排期'!D22</x:f>
        <x:v>待完成</x:v>
      </x:c>
      <x:c r="F22" s="65" t="str">
        <x:f>'功能完成排期'!G22</x:f>
        <x:v>高</x:v>
      </x:c>
      <x:c r="G22" s="65" t="str">
        <x:f>'功能完成排期'!I22</x:f>
        <x:v>S4</x:v>
      </x:c>
      <x:c r="H22" s="70" t="n">
        <x:f>'功能完成排期'!K22</x:f>
        <x:v>46346</x:v>
      </x:c>
      <x:c r="I22" s="57" t="str">
        <x:f>'功能完成排期'!F22</x:f>
        <x:v>识别自动回复、退信与休假回复，避免重复建单</x:v>
      </x:c>
      <x:c r="J22" s="57" t="str">
        <x:f>'功能完成排期'!O22</x:f>
        <x:v>退信/自动回复不会无限创建工单</x:v>
      </x:c>
    </x:row>
    <x:row r="23" ht="52" customHeight="1">
      <x:c r="A23" s="65">
        <x:v>22</x:v>
      </x:c>
      <x:c r="B23" s="65" t="s">
        <x:v>150</x:v>
      </x:c>
      <x:c r="C23" s="57" t="str">
        <x:f>'功能完成排期'!B23</x:f>
        <x:v>接待与工单</x:v>
      </x:c>
      <x:c r="D23" s="57" t="str">
        <x:f>'功能完成排期'!C23</x:f>
        <x:v>P1-P4优先级判定与复核</x:v>
      </x:c>
      <x:c r="E23" s="68" t="str">
        <x:f>'功能完成排期'!D23</x:f>
        <x:v>部分完成</x:v>
      </x:c>
      <x:c r="F23" s="65" t="str">
        <x:f>'功能完成排期'!G23</x:f>
        <x:v>高</x:v>
      </x:c>
      <x:c r="G23" s="65" t="str">
        <x:f>'功能完成排期'!I23</x:f>
        <x:v>S4</x:v>
      </x:c>
      <x:c r="H23" s="70" t="n">
        <x:f>'功能完成排期'!K23</x:f>
        <x:v>46346</x:v>
      </x:c>
      <x:c r="I23" s="57" t="str">
        <x:f>'功能完成排期'!F23</x:f>
        <x:v>补影响范围、紧迫性、安全风险、替代方案判断及人工复核</x:v>
      </x:c>
      <x:c r="J23" s="57" t="str">
        <x:f>'功能完成排期'!O23</x:f>
        <x:v>按业务规则得出优先级并可审计复核</x:v>
      </x:c>
    </x:row>
    <x:row r="24" ht="52" customHeight="1">
      <x:c r="A24" s="65">
        <x:v>23</x:v>
      </x:c>
      <x:c r="B24" s="65" t="s">
        <x:v>151</x:v>
      </x:c>
      <x:c r="C24" s="57" t="str">
        <x:f>'功能完成排期'!B24</x:f>
        <x:v>接待与工单</x:v>
      </x:c>
      <x:c r="D24" s="57" t="str">
        <x:f>'功能完成排期'!C24</x:f>
        <x:v>持续保留行政负责人</x:v>
      </x:c>
      <x:c r="E24" s="68" t="str">
        <x:f>'功能完成排期'!D24</x:f>
        <x:v>部分完成</x:v>
      </x:c>
      <x:c r="F24" s="65" t="str">
        <x:f>'功能完成排期'!G24</x:f>
        <x:v>高</x:v>
      </x:c>
      <x:c r="G24" s="65" t="str">
        <x:f>'功能完成排期'!I24</x:f>
        <x:v>S4</x:v>
      </x:c>
      <x:c r="H24" s="70" t="n">
        <x:f>'功能完成排期'!K24</x:f>
        <x:v>46346</x:v>
      </x:c>
      <x:c r="I24" s="57" t="str">
        <x:f>'功能完成排期'!F24</x:f>
        <x:v>单独维护行政负责人，换工程师或转专家时不丢失</x:v>
      </x:c>
      <x:c r="J24" s="57" t="str">
        <x:f>'功能完成排期'!O24</x:f>
        <x:v>无技术接单人时仍有人负责跟进</x:v>
      </x:c>
    </x:row>
    <x:row r="25" ht="52" customHeight="1">
      <x:c r="A25" s="65">
        <x:v>24</x:v>
      </x:c>
      <x:c r="B25" s="65" t="s">
        <x:v>152</x:v>
      </x:c>
      <x:c r="C25" s="57" t="str">
        <x:f>'功能完成排期'!B25</x:f>
        <x:v>账号与权限</x:v>
      </x:c>
      <x:c r="D25" s="57" t="str">
        <x:f>'功能完成排期'!C25</x:f>
        <x:v>应急管理员使用审批</x:v>
      </x:c>
      <x:c r="E25" s="69" t="str">
        <x:f>'功能完成排期'!D25</x:f>
        <x:v>待完成</x:v>
      </x:c>
      <x:c r="F25" s="65" t="str">
        <x:f>'功能完成排期'!G25</x:f>
        <x:v>中</x:v>
      </x:c>
      <x:c r="G25" s="65" t="str">
        <x:f>'功能完成排期'!I25</x:f>
        <x:v>S4</x:v>
      </x:c>
      <x:c r="H25" s="70" t="n">
        <x:f>'功能完成排期'!K25</x:f>
        <x:v>46346</x:v>
      </x:c>
      <x:c r="I25" s="57" t="str">
        <x:f>'功能完成排期'!F25</x:f>
        <x:v>补独立应急凭据、离线保管、强 MFA、最小权限、每次审批及事后审计。</x:v>
      </x:c>
      <x:c r="J25" s="57" t="str">
        <x:f>'功能完成排期'!O25</x:f>
        <x:v>逐项查验独立凭据与保管责任、MFA、审批、限权和事后复核记录。</x:v>
      </x:c>
    </x:row>
    <x:row r="26" ht="52" customHeight="1">
      <x:c r="A26" s="65">
        <x:v>25</x:v>
      </x:c>
      <x:c r="B26" s="65" t="s">
        <x:v>153</x:v>
      </x:c>
      <x:c r="C26" s="57" t="str">
        <x:f>'功能完成排期'!B26</x:f>
        <x:v>数据与记录</x:v>
      </x:c>
      <x:c r="D26" s="57" t="str">
        <x:f>'功能完成排期'!C26</x:f>
        <x:v>操作记录和审计查询</x:v>
      </x:c>
      <x:c r="E26" s="68" t="str">
        <x:f>'功能完成排期'!D26</x:f>
        <x:v>部分完成</x:v>
      </x:c>
      <x:c r="F26" s="65" t="str">
        <x:f>'功能完成排期'!G26</x:f>
        <x:v>中</x:v>
      </x:c>
      <x:c r="G26" s="65" t="str">
        <x:f>'功能完成排期'!I26</x:f>
        <x:v>S4</x:v>
      </x:c>
      <x:c r="H26" s="70" t="n">
        <x:f>'功能完成排期'!K26</x:f>
        <x:v>46346</x:v>
      </x:c>
      <x:c r="I26" s="57" t="str">
        <x:f>'功能完成排期'!F26</x:f>
        <x:v>补新功能的审批、导出、删除、时钟和QA记录</x:v>
      </x:c>
      <x:c r="J26" s="57" t="str">
        <x:f>'功能完成排期'!O26</x:f>
        <x:v>关键操作能定位操作人、时间、结果和批准依据</x:v>
      </x:c>
    </x:row>
    <x:row r="27" ht="52" customHeight="1">
      <x:c r="A27" s="65">
        <x:v>26</x:v>
      </x:c>
      <x:c r="B27" s="65" t="s">
        <x:v>154</x:v>
      </x:c>
      <x:c r="C27" s="57" t="str">
        <x:f>'功能完成排期'!B27</x:f>
        <x:v>接待与工单</x:v>
      </x:c>
      <x:c r="D27" s="57" t="str">
        <x:f>'功能完成排期'!C27</x:f>
        <x:v>多个用户问题关联同一事件</x:v>
      </x:c>
      <x:c r="E27" s="69" t="str">
        <x:f>'功能完成排期'!D27</x:f>
        <x:v>待完成</x:v>
      </x:c>
      <x:c r="F27" s="65" t="str">
        <x:f>'功能完成排期'!G27</x:f>
        <x:v>高</x:v>
      </x:c>
      <x:c r="G27" s="65" t="str">
        <x:f>'功能完成排期'!I27</x:f>
        <x:v>S5</x:v>
      </x:c>
      <x:c r="H27" s="70" t="n">
        <x:f>'功能完成排期'!K27</x:f>
        <x:v>46360</x:v>
      </x:c>
      <x:c r="I27" s="57" t="str">
        <x:f>'功能完成排期'!F27</x:f>
        <x:v>新增关联、解除、重复归并并保留各用户沟通</x:v>
      </x:c>
      <x:c r="J27" s="57" t="str">
        <x:f>'功能完成排期'!O27</x:f>
        <x:v>多个用户Case跟踪同一故障且各自可更新</x:v>
      </x:c>
    </x:row>
    <x:row r="28" ht="52" customHeight="1">
      <x:c r="A28" s="65">
        <x:v>27</x:v>
      </x:c>
      <x:c r="B28" s="65" t="s">
        <x:v>155</x:v>
      </x:c>
      <x:c r="C28" s="57" t="str">
        <x:f>'功能完成排期'!B28</x:f>
        <x:v>时限与提醒</x:v>
      </x:c>
      <x:c r="D28" s="57" t="str">
        <x:f>'功能完成排期'!C28</x:f>
        <x:v>营业时间、节假日及时区</x:v>
      </x:c>
      <x:c r="E28" s="68" t="str">
        <x:f>'功能完成排期'!D28</x:f>
        <x:v>部分完成</x:v>
      </x:c>
      <x:c r="F28" s="65" t="str">
        <x:f>'功能完成排期'!G28</x:f>
        <x:v>高</x:v>
      </x:c>
      <x:c r="G28" s="65" t="str">
        <x:f>'功能完成排期'!I28</x:f>
        <x:v>S5</x:v>
      </x:c>
      <x:c r="H28" s="70" t="n">
        <x:f>'功能完成排期'!K28</x:f>
        <x:v>46360</x:v>
      </x:c>
      <x:c r="I28" s="57" t="str">
        <x:f>'功能完成排期'!F28</x:f>
        <x:v>将营业日历接入实际预警/违约链路；验证跨日、节假日、时区、DST，并统一 UTC。</x:v>
      </x:c>
      <x:c r="J28" s="57" t="str">
        <x:f>'功能完成排期'!O28</x:f>
        <x:v>非服务时间按规则处理，跨时区结果一致</x:v>
      </x:c>
    </x:row>
    <x:row r="29" ht="52" customHeight="1">
      <x:c r="A29" s="65">
        <x:v>28</x:v>
      </x:c>
      <x:c r="B29" s="65" t="s">
        <x:v>156</x:v>
      </x:c>
      <x:c r="C29" s="57" t="str">
        <x:f>'功能完成排期'!B29</x:f>
        <x:v>接待与工单</x:v>
      </x:c>
      <x:c r="D29" s="57" t="str">
        <x:f>'功能完成排期'!C29</x:f>
        <x:v>重大故障协调与沟通审批</x:v>
      </x:c>
      <x:c r="E29" s="69" t="str">
        <x:f>'功能完成排期'!D29</x:f>
        <x:v>待完成</x:v>
      </x:c>
      <x:c r="F29" s="65" t="str">
        <x:f>'功能完成排期'!G29</x:f>
        <x:v>中</x:v>
      </x:c>
      <x:c r="G29" s="65" t="str">
        <x:f>'功能完成排期'!I29</x:f>
        <x:v>S5</x:v>
      </x:c>
      <x:c r="H29" s="70" t="n">
        <x:f>'功能完成排期'!K29</x:f>
        <x:v>46360</x:v>
      </x:c>
      <x:c r="I29" s="57" t="str">
        <x:f>'功能完成排期'!F29</x:f>
        <x:v>增加指挥负责人、影响范围、时间线、沟通审批及复盘行动</x:v>
      </x:c>
      <x:c r="J29" s="57" t="str">
        <x:f>'功能完成排期'!O29</x:f>
        <x:v>重大事件从宣布到恢复和复盘有完整责任记录</x:v>
      </x:c>
    </x:row>
    <x:row r="30" ht="52" customHeight="1">
      <x:c r="A30" s="65">
        <x:v>29</x:v>
      </x:c>
      <x:c r="B30" s="65" t="s">
        <x:v>157</x:v>
      </x:c>
      <x:c r="C30" s="57" t="str">
        <x:f>'功能完成排期'!B30</x:f>
        <x:v>时限与提醒</x:v>
      </x:c>
      <x:c r="D30" s="57" t="str">
        <x:f>'功能完成排期'!C30</x:f>
        <x:v>端到端与己方责任双时钟</x:v>
      </x:c>
      <x:c r="E30" s="69" t="str">
        <x:f>'功能完成排期'!D30</x:f>
        <x:v>待完成</x:v>
      </x:c>
      <x:c r="F30" s="65" t="str">
        <x:f>'功能完成排期'!G30</x:f>
        <x:v>高</x:v>
      </x:c>
      <x:c r="G30" s="65" t="str">
        <x:f>'功能完成排期'!I30</x:f>
        <x:v>S6</x:v>
      </x:c>
      <x:c r="H30" s="70" t="n">
        <x:f>'功能完成排期'!K30</x:f>
        <x:v>46374</x:v>
      </x:c>
      <x:c r="I30" s="57" t="str">
        <x:f>'功能完成排期'!F30</x:f>
        <x:v>新增总经历时间与本方可归责时间并列跟踪</x:v>
      </x:c>
      <x:c r="J30" s="57" t="str">
        <x:f>'功能完成排期'!O30</x:f>
        <x:v>转外部专家时总时钟持续，己方时钟按约定变化</x:v>
      </x:c>
    </x:row>
    <x:row r="31" ht="52" customHeight="1">
      <x:c r="A31" s="65">
        <x:v>30</x:v>
      </x:c>
      <x:c r="B31" s="65" t="s">
        <x:v>158</x:v>
      </x:c>
      <x:c r="C31" s="57" t="str">
        <x:f>'功能完成排期'!B31</x:f>
        <x:v>时限与提醒</x:v>
      </x:c>
      <x:c r="D31" s="57" t="str">
        <x:f>'功能完成排期'!C31</x:f>
        <x:v>受控暂停与恢复</x:v>
      </x:c>
      <x:c r="E31" s="68" t="str">
        <x:f>'功能完成排期'!D31</x:f>
        <x:v>部分完成</x:v>
      </x:c>
      <x:c r="F31" s="65" t="str">
        <x:f>'功能完成排期'!G31</x:f>
        <x:v>高</x:v>
      </x:c>
      <x:c r="G31" s="65" t="str">
        <x:f>'功能完成排期'!I31</x:f>
        <x:v>S6</x:v>
      </x:c>
      <x:c r="H31" s="70" t="n">
        <x:f>'功能完成排期'!K31</x:f>
        <x:v>46374</x:v>
      </x:c>
      <x:c r="I31" s="57" t="str">
        <x:f>'功能完成排期'!F31</x:f>
        <x:v>补文档责任状态和合法转移规则</x:v>
      </x:c>
      <x:c r="J31" s="57" t="str">
        <x:f>'功能完成排期'!O31</x:f>
        <x:v>每次暂停恢复都能说明原因和责任方</x:v>
      </x:c>
    </x:row>
    <x:row r="32" ht="52" customHeight="1">
      <x:c r="A32" s="65">
        <x:v>31</x:v>
      </x:c>
      <x:c r="B32" s="65" t="s">
        <x:v>159</x:v>
      </x:c>
      <x:c r="C32" s="57" t="str">
        <x:f>'功能完成排期'!B32</x:f>
        <x:v>时限与提醒</x:v>
      </x:c>
      <x:c r="D32" s="57" t="str">
        <x:f>'功能完成排期'!C32</x:f>
        <x:v>普通等待不暂停，批准暂停留证据</x:v>
      </x:c>
      <x:c r="E32" s="68" t="str">
        <x:f>'功能完成排期'!D32</x:f>
        <x:v>部分完成</x:v>
      </x:c>
      <x:c r="F32" s="65" t="str">
        <x:f>'功能完成排期'!G32</x:f>
        <x:v>高</x:v>
      </x:c>
      <x:c r="G32" s="65" t="str">
        <x:f>'功能完成排期'!I32</x:f>
        <x:v>S6</x:v>
      </x:c>
      <x:c r="H32" s="70" t="n">
        <x:f>'功能完成排期'!K32</x:f>
        <x:v>46374</x:v>
      </x:c>
      <x:c r="I32" s="57" t="str">
        <x:f>'功能完成排期'!F32</x:f>
        <x:v>增加审批人、证据、Owner、生效时间，禁止普通等待自动免责</x:v>
      </x:c>
      <x:c r="J32" s="57" t="str">
        <x:f>'功能完成排期'!O32</x:f>
        <x:v>缺批准证据不能暂停可归责时间</x:v>
      </x:c>
    </x:row>
    <x:row r="33" ht="52" customHeight="1">
      <x:c r="A33" s="65">
        <x:v>32</x:v>
      </x:c>
      <x:c r="B33" s="65" t="s">
        <x:v>160</x:v>
      </x:c>
      <x:c r="C33" s="57" t="str">
        <x:f>'功能完成排期'!B33</x:f>
        <x:v>时限与提醒</x:v>
      </x:c>
      <x:c r="D33" s="57" t="str">
        <x:f>'功能完成排期'!C33</x:f>
        <x:v>补齐 SLA 六类目标与联合验收</x:v>
      </x:c>
      <x:c r="E33" s="68" t="str">
        <x:f>'功能完成排期'!D33</x:f>
        <x:v>部分完成</x:v>
      </x:c>
      <x:c r="F33" s="65" t="str">
        <x:f>'功能完成排期'!G33</x:f>
        <x:v>高</x:v>
      </x:c>
      <x:c r="G33" s="65" t="str">
        <x:f>'功能完成排期'!I33</x:f>
        <x:v>S7</x:v>
      </x:c>
      <x:c r="H33" s="70" t="n">
        <x:f>'功能完成排期'!K33</x:f>
        <x:v>46388</x:v>
      </x:c>
      <x:c r="I33" s="57" t="str">
        <x:f>'功能完成排期'!F33</x:f>
        <x:v>补 Acknowledgement、Update Cadence、Escalation、Restore；与 FUN-037 的 First Response、Resolve 联合验证六类目标及报告。</x:v>
      </x:c>
      <x:c r="J33" s="57" t="str">
        <x:f>'功能完成排期'!O33</x:f>
        <x:v>SLA-005 六类目标逐一有开始、停止/重置、超时、预警及报告证据；不以工程师接单替代受理确认。</x:v>
      </x:c>
    </x:row>
    <x:row r="34" ht="52" customHeight="1">
      <x:c r="A34" s="65">
        <x:v>33</x:v>
      </x:c>
      <x:c r="B34" s="65" t="s">
        <x:v>161</x:v>
      </x:c>
      <x:c r="C34" s="57" t="str">
        <x:f>'功能完成排期'!B34</x:f>
        <x:v>时限与提醒</x:v>
      </x:c>
      <x:c r="D34" s="57" t="str">
        <x:f>'功能完成排期'!C34</x:f>
        <x:v>P1/P2即将违约自动升级</x:v>
      </x:c>
      <x:c r="E34" s="68" t="str">
        <x:f>'功能完成排期'!D34</x:f>
        <x:v>部分完成</x:v>
      </x:c>
      <x:c r="F34" s="65" t="str">
        <x:f>'功能完成排期'!G34</x:f>
        <x:v>高</x:v>
      </x:c>
      <x:c r="G34" s="65" t="str">
        <x:f>'功能完成排期'!I34</x:f>
        <x:v>S7</x:v>
      </x:c>
      <x:c r="H34" s="70" t="n">
        <x:f>'功能完成排期'!K34</x:f>
        <x:v>46388</x:v>
      </x:c>
      <x:c r="I34" s="57" t="str">
        <x:f>'功能完成排期'!F34</x:f>
        <x:v>按P1/P2验证升级收件人、时机及外部等待影响</x:v>
      </x:c>
      <x:c r="J34" s="57" t="str">
        <x:f>'功能完成排期'!O34</x:f>
        <x:v>临近违约时准确通知并记录升级</x:v>
      </x:c>
    </x:row>
    <x:row r="35" ht="52" customHeight="1">
      <x:c r="A35" s="65">
        <x:v>34</x:v>
      </x:c>
      <x:c r="B35" s="65" t="s">
        <x:v>162</x:v>
      </x:c>
      <x:c r="C35" s="57" t="str">
        <x:f>'功能完成排期'!B35</x:f>
        <x:v>知识与机器人</x:v>
      </x:c>
      <x:c r="D35" s="57" t="str">
        <x:f>'功能完成排期'!C35</x:f>
        <x:v>知识审批、有效期、撤回限制</x:v>
      </x:c>
      <x:c r="E35" s="68" t="str">
        <x:f>'功能完成排期'!D35</x:f>
        <x:v>部分完成</x:v>
      </x:c>
      <x:c r="F35" s="65" t="str">
        <x:f>'功能完成排期'!G35</x:f>
        <x:v>高</x:v>
      </x:c>
      <x:c r="G35" s="65" t="str">
        <x:f>'功能完成排期'!I35</x:f>
        <x:v>S7</x:v>
      </x:c>
      <x:c r="H35" s="70" t="n">
        <x:f>'功能完成排期'!K35</x:f>
        <x:v>46388</x:v>
      </x:c>
      <x:c r="I35" s="57" t="str">
        <x:f>'功能完成排期'!F35</x:f>
        <x:v>补文章审核人、有效期、撤回状态及标准答复限制</x:v>
      </x:c>
      <x:c r="J35" s="57" t="str">
        <x:f>'功能完成排期'!O35</x:f>
        <x:v>草稿/过期/撤回文章不能作为标准答复</x:v>
      </x:c>
    </x:row>
    <x:row r="36" ht="52" customHeight="1">
      <x:c r="A36" s="65">
        <x:v>35</x:v>
      </x:c>
      <x:c r="B36" s="65" t="s">
        <x:v>163</x:v>
      </x:c>
      <x:c r="C36" s="57" t="str">
        <x:f>'功能完成排期'!B36</x:f>
        <x:v>知识与机器人</x:v>
      </x:c>
      <x:c r="D36" s="57" t="str">
        <x:f>'功能完成排期'!C36</x:f>
        <x:v>知识版本与工单使用效果</x:v>
      </x:c>
      <x:c r="E36" s="68" t="str">
        <x:f>'功能完成排期'!D36</x:f>
        <x:v>部分完成</x:v>
      </x:c>
      <x:c r="F36" s="65" t="str">
        <x:f>'功能完成排期'!G36</x:f>
        <x:v>中</x:v>
      </x:c>
      <x:c r="G36" s="65" t="str">
        <x:f>'功能完成排期'!I36</x:f>
        <x:v>S7</x:v>
      </x:c>
      <x:c r="H36" s="70" t="n">
        <x:f>'功能完成排期'!K36</x:f>
        <x:v>46388</x:v>
      </x:c>
      <x:c r="I36" s="57" t="str">
        <x:f>'功能完成排期'!F36</x:f>
        <x:v>完善文章版本到工单使用及解决结果的关联</x:v>
      </x:c>
      <x:c r="J36" s="57" t="str">
        <x:f>'功能完成排期'!O36</x:f>
        <x:v>可查某版本用于哪些工单及解决效果</x:v>
      </x:c>
    </x:row>
    <x:row r="37" ht="52" customHeight="1">
      <x:c r="A37" s="65">
        <x:v>36</x:v>
      </x:c>
      <x:c r="B37" s="65" t="s">
        <x:v>164</x:v>
      </x:c>
      <x:c r="C37" s="57" t="str">
        <x:f>'功能完成排期'!B37</x:f>
        <x:v>时限与提醒</x:v>
      </x:c>
      <x:c r="D37" s="57" t="str">
        <x:f>'功能完成排期'!C37</x:f>
        <x:v>调整服务目标前模拟影响</x:v>
      </x:c>
      <x:c r="E37" s="69" t="str">
        <x:f>'功能完成排期'!D37</x:f>
        <x:v>待完成</x:v>
      </x:c>
      <x:c r="F37" s="65" t="str">
        <x:f>'功能完成排期'!G37</x:f>
        <x:v>低</x:v>
      </x:c>
      <x:c r="G37" s="65" t="str">
        <x:f>'功能完成排期'!I37</x:f>
        <x:v>S7</x:v>
      </x:c>
      <x:c r="H37" s="70" t="n">
        <x:f>'功能完成排期'!K37</x:f>
        <x:v>46388</x:v>
      </x:c>
      <x:c r="I37" s="57" t="str">
        <x:f>'功能完成排期'!F37</x:f>
        <x:v>新增用历史工单模拟新日历、优先级和目标</x:v>
      </x:c>
      <x:c r="J37" s="57" t="str">
        <x:f>'功能完成排期'!O37</x:f>
        <x:v>修改前看到违约数及受影响工单变化</x:v>
      </x:c>
    </x:row>
    <x:row r="38" ht="52" customHeight="1">
      <x:c r="A38" s="65">
        <x:v>37</x:v>
      </x:c>
      <x:c r="B38" s="65" t="s">
        <x:v>165</x:v>
      </x:c>
      <x:c r="C38" s="57" t="str">
        <x:f>'功能完成排期'!B38</x:f>
        <x:v>知识与机器人</x:v>
      </x:c>
      <x:c r="D38" s="57" t="str">
        <x:f>'功能完成排期'!C38</x:f>
        <x:v>已知错误与临时解决办法</x:v>
      </x:c>
      <x:c r="E38" s="69" t="str">
        <x:f>'功能完成排期'!D38</x:f>
        <x:v>待完成</x:v>
      </x:c>
      <x:c r="F38" s="65" t="str">
        <x:f>'功能完成排期'!G38</x:f>
        <x:v>高</x:v>
      </x:c>
      <x:c r="G38" s="65" t="str">
        <x:f>'功能完成排期'!I38</x:f>
        <x:v>S8</x:v>
      </x:c>
      <x:c r="H38" s="70" t="n">
        <x:f>'功能完成排期'!K38</x:f>
        <x:v>46402</x:v>
      </x:c>
      <x:c r="I38" s="57" t="str">
        <x:f>'功能完成排期'!F38</x:f>
        <x:v>关联组件、风险、适用范围、Workaround及永久修复负责人</x:v>
      </x:c>
      <x:c r="J38" s="57" t="str">
        <x:f>'功能完成排期'!O38</x:f>
        <x:v>客服能找到当前适用的已知问题处理办法</x:v>
      </x:c>
    </x:row>
    <x:row r="39" ht="52" customHeight="1">
      <x:c r="A39" s="65">
        <x:v>38</x:v>
      </x:c>
      <x:c r="B39" s="65" t="s">
        <x:v>166</x:v>
      </x:c>
      <x:c r="C39" s="57" t="str">
        <x:f>'功能完成排期'!B39</x:f>
        <x:v>知识与机器人</x:v>
      </x:c>
      <x:c r="D39" s="57" t="str">
        <x:f>'功能完成排期'!C39</x:f>
        <x:v>意图分流与结构化信息采集</x:v>
      </x:c>
      <x:c r="E39" s="68" t="str">
        <x:f>'功能完成排期'!D39</x:f>
        <x:v>部分完成</x:v>
      </x:c>
      <x:c r="F39" s="65" t="str">
        <x:f>'功能完成排期'!G39</x:f>
        <x:v>高</x:v>
      </x:c>
      <x:c r="G39" s="65" t="str">
        <x:f>'功能完成排期'!I39</x:f>
        <x:v>S8</x:v>
      </x:c>
      <x:c r="H39" s="70" t="n">
        <x:f>'功能完成排期'!K39</x:f>
        <x:v>46402</x:v>
      </x:c>
      <x:c r="I39" s="57" t="str">
        <x:f>'功能完成排期'!F39</x:f>
        <x:v>按需求完善支持意图、必要信息及确定性分流</x:v>
      </x:c>
      <x:c r="J39" s="57" t="str">
        <x:f>'功能完成排期'!O39</x:f>
        <x:v>各意图收集正确字段并进入正确处理流程</x:v>
      </x:c>
    </x:row>
    <x:row r="40" ht="52" customHeight="1">
      <x:c r="A40" s="65">
        <x:v>39</x:v>
      </x:c>
      <x:c r="B40" s="65" t="s">
        <x:v>167</x:v>
      </x:c>
      <x:c r="C40" s="57" t="str">
        <x:f>'功能完成排期'!B40</x:f>
        <x:v>知识与机器人</x:v>
      </x:c>
      <x:c r="D40" s="57" t="str">
        <x:f>'功能完成排期'!C40</x:f>
        <x:v>低置信度、连续失败强制转人工</x:v>
      </x:c>
      <x:c r="E40" s="68" t="str">
        <x:f>'功能完成排期'!D40</x:f>
        <x:v>部分完成</x:v>
      </x:c>
      <x:c r="F40" s="65" t="str">
        <x:f>'功能完成排期'!G40</x:f>
        <x:v>高</x:v>
      </x:c>
      <x:c r="G40" s="65" t="str">
        <x:f>'功能完成排期'!I40</x:f>
        <x:v>S8</x:v>
      </x:c>
      <x:c r="H40" s="70" t="n">
        <x:f>'功能完成排期'!K40</x:f>
        <x:v>46402</x:v>
      </x:c>
      <x:c r="I40" s="57" t="str">
        <x:f>'功能完成排期'!F40</x:f>
        <x:v>补连续失败阈值、敏感意图和强制转人工验收</x:v>
      </x:c>
      <x:c r="J40" s="57" t="str">
        <x:f>'功能完成排期'!O40</x:f>
        <x:v>触发任一转人工条件时不继续无效问答</x:v>
      </x:c>
    </x:row>
    <x:row r="41" ht="52" customHeight="1">
      <x:c r="A41" s="65">
        <x:v>40</x:v>
      </x:c>
      <x:c r="B41" s="65" t="s">
        <x:v>168</x:v>
      </x:c>
      <x:c r="C41" s="57" t="str">
        <x:f>'功能完成排期'!B41</x:f>
        <x:v>知识与机器人</x:v>
      </x:c>
      <x:c r="D41" s="57" t="str">
        <x:f>'功能完成排期'!C41</x:f>
        <x:v>明确机器人身份及退出自动回复</x:v>
      </x:c>
      <x:c r="E41" s="68" t="str">
        <x:f>'功能完成排期'!D41</x:f>
        <x:v>部分完成</x:v>
      </x:c>
      <x:c r="F41" s="65" t="str">
        <x:f>'功能完成排期'!G41</x:f>
        <x:v>高</x:v>
      </x:c>
      <x:c r="G41" s="65" t="str">
        <x:f>'功能完成排期'!I41</x:f>
        <x:v>S8</x:v>
      </x:c>
      <x:c r="H41" s="70" t="n">
        <x:f>'功能完成排期'!K41</x:f>
        <x:v>46402</x:v>
      </x:c>
      <x:c r="I41" s="57" t="str">
        <x:f>'功能完成排期'!F41</x:f>
        <x:v>明确AI身份，记录退出/同意状态并停止自动交互</x:v>
      </x:c>
      <x:c r="J41" s="57" t="str">
        <x:f>'功能完成排期'!O41</x:f>
        <x:v>用户退出后由人工接管且不再收到自动回复</x:v>
      </x:c>
    </x:row>
    <x:row r="42" ht="52" customHeight="1">
      <x:c r="A42" s="65">
        <x:v>41</x:v>
      </x:c>
      <x:c r="B42" s="65" t="s">
        <x:v>169</x:v>
      </x:c>
      <x:c r="C42" s="57" t="str">
        <x:f>'功能完成排期'!B42</x:f>
        <x:v>知识与机器人</x:v>
      </x:c>
      <x:c r="D42" s="57" t="str">
        <x:f>'功能完成排期'!C42</x:f>
        <x:v>从工单产生知识改进候选</x:v>
      </x:c>
      <x:c r="E42" s="68" t="str">
        <x:f>'功能完成排期'!D42</x:f>
        <x:v>部分完成</x:v>
      </x:c>
      <x:c r="F42" s="65" t="str">
        <x:f>'功能完成排期'!G42</x:f>
        <x:v>中</x:v>
      </x:c>
      <x:c r="G42" s="65" t="str">
        <x:f>'功能完成排期'!I42</x:f>
        <x:v>S8</x:v>
      </x:c>
      <x:c r="H42" s="70" t="n">
        <x:f>'功能完成排期'!K42</x:f>
        <x:v>46402</x:v>
      </x:c>
      <x:c r="I42" s="57" t="str">
        <x:f>'功能完成排期'!F42</x:f>
        <x:v>补QA、重开、升级和低解决率触发及处理结果</x:v>
      </x:c>
      <x:c r="J42" s="57" t="str">
        <x:f>'功能完成排期'!O42</x:f>
        <x:v>发现重复问题后产生去重候选并跟踪审批</x:v>
      </x:c>
    </x:row>
    <x:row r="43" ht="52" customHeight="1">
      <x:c r="A43" s="65">
        <x:v>42</x:v>
      </x:c>
      <x:c r="B43" s="65" t="s">
        <x:v>170</x:v>
      </x:c>
      <x:c r="C43" s="57" t="str">
        <x:f>'功能完成排期'!B43</x:f>
        <x:v>专家与服务目录</x:v>
      </x:c>
      <x:c r="D43" s="57" t="str">
        <x:f>'功能完成排期'!C43</x:f>
        <x:v>服务与组件支持目录</x:v>
      </x:c>
      <x:c r="E43" s="68" t="str">
        <x:f>'功能完成排期'!D43</x:f>
        <x:v>部分完成</x:v>
      </x:c>
      <x:c r="F43" s="65" t="str">
        <x:f>'功能完成排期'!G43</x:f>
        <x:v>高</x:v>
      </x:c>
      <x:c r="G43" s="65" t="str">
        <x:f>'功能完成排期'!I43</x:f>
        <x:v>S9</x:v>
      </x:c>
      <x:c r="H43" s="70" t="n">
        <x:f>'功能完成排期'!K43</x:f>
        <x:v>46416</x:v>
      </x:c>
      <x:c r="I43" s="57" t="str">
        <x:f>'功能完成排期'!F43</x:f>
        <x:v>补每个活动 Service/Component 的 Support Group、Owner、Coverage Calendar、Escalation Route、Active Period；不要只验产品目录。</x:v>
      </x:c>
      <x:c r="J43" s="57" t="str">
        <x:f>'功能完成排期'!O43</x:f>
        <x:v>每个活动组件都能找到有效支援路径</x:v>
      </x:c>
    </x:row>
    <x:row r="44" ht="52" customHeight="1">
      <x:c r="A44" s="65">
        <x:v>43</x:v>
      </x:c>
      <x:c r="B44" s="65" t="s">
        <x:v>171</x:v>
      </x:c>
      <x:c r="C44" s="57" t="str">
        <x:f>'功能完成排期'!B44</x:f>
        <x:v>专家与服务目录</x:v>
      </x:c>
      <x:c r="D44" s="57" t="str">
        <x:f>'功能完成排期'!C44</x:f>
        <x:v>外部专家、合同及OLA配置</x:v>
      </x:c>
      <x:c r="E44" s="68" t="str">
        <x:f>'功能完成排期'!D44</x:f>
        <x:v>部分完成</x:v>
      </x:c>
      <x:c r="F44" s="65" t="str">
        <x:f>'功能完成排期'!G44</x:f>
        <x:v>高</x:v>
      </x:c>
      <x:c r="G44" s="65" t="str">
        <x:f>'功能完成排期'!I44</x:f>
        <x:v>S9</x:v>
      </x:c>
      <x:c r="H44" s="70" t="n">
        <x:f>'功能完成排期'!K44</x:f>
        <x:v>46416</x:v>
      </x:c>
      <x:c r="I44" s="57" t="str">
        <x:f>'功能完成排期'!F44</x:f>
        <x:v>增加支援合同、响应约定、联系人和备用升级路线</x:v>
      </x:c>
      <x:c r="J44" s="57" t="str">
        <x:f>'功能完成排期'!O44</x:f>
        <x:v>外部组件可查专家、合同及承诺时限</x:v>
      </x:c>
    </x:row>
    <x:row r="45" ht="52" customHeight="1">
      <x:c r="A45" s="65">
        <x:v>44</x:v>
      </x:c>
      <x:c r="B45" s="65" t="s">
        <x:v>172</x:v>
      </x:c>
      <x:c r="C45" s="57" t="str">
        <x:f>'功能完成排期'!B45</x:f>
        <x:v>知识与机器人</x:v>
      </x:c>
      <x:c r="D45" s="57" t="str">
        <x:f>'功能完成排期'!C45</x:f>
        <x:v>阻止退款、账户等高风险自动动作</x:v>
      </x:c>
      <x:c r="E45" s="68" t="str">
        <x:f>'功能完成排期'!D45</x:f>
        <x:v>部分完成</x:v>
      </x:c>
      <x:c r="F45" s="65" t="str">
        <x:f>'功能完成排期'!G45</x:f>
        <x:v>高</x:v>
      </x:c>
      <x:c r="G45" s="65" t="str">
        <x:f>'功能完成排期'!I45</x:f>
        <x:v>S9</x:v>
      </x:c>
      <x:c r="H45" s="70" t="n">
        <x:f>'功能完成排期'!K45</x:f>
        <x:v>46416</x:v>
      </x:c>
      <x:c r="I45" s="57" t="str">
        <x:f>'功能完成排期'!F45</x:f>
        <x:v>对交易、账户、退款、赔付、封禁和 Priority 最终裁决实施机器人自动执行禁令；人工处理走独立授权流程。</x:v>
      </x:c>
      <x:c r="J45" s="57" t="str">
        <x:f>'功能完成排期'!O45</x:f>
        <x:v>机器人无法自主执行禁止动作，包括绕过提示词或调用工具；人工业务审批不直接视为允许机器人代执行。</x:v>
      </x:c>
    </x:row>
    <x:row r="46" ht="52" customHeight="1">
      <x:c r="A46" s="65">
        <x:v>45</x:v>
      </x:c>
      <x:c r="B46" s="65" t="s">
        <x:v>173</x:v>
      </x:c>
      <x:c r="C46" s="57" t="str">
        <x:f>'功能完成排期'!B46</x:f>
        <x:v>专家与服务目录</x:v>
      </x:c>
      <x:c r="D46" s="57" t="str">
        <x:f>'功能完成排期'!C46</x:f>
        <x:v>目录生效版本与历史引用</x:v>
      </x:c>
      <x:c r="E46" s="69" t="str">
        <x:f>'功能完成排期'!D46</x:f>
        <x:v>待完成</x:v>
      </x:c>
      <x:c r="F46" s="65" t="str">
        <x:f>'功能完成排期'!G46</x:f>
        <x:v>中</x:v>
      </x:c>
      <x:c r="G46" s="65" t="str">
        <x:f>'功能完成排期'!I46</x:f>
        <x:v>S9</x:v>
      </x:c>
      <x:c r="H46" s="70" t="n">
        <x:f>'功能完成排期'!K46</x:f>
        <x:v>46416</x:v>
      </x:c>
      <x:c r="I46" s="57" t="str">
        <x:f>'功能完成排期'!F46</x:f>
        <x:v>增加版本、有效期和工单当时所用版本记录</x:v>
      </x:c>
      <x:c r="J46" s="57" t="str">
        <x:f>'功能完成排期'!O46</x:f>
        <x:v>变更目录不改历史工单责任依据</x:v>
      </x:c>
    </x:row>
    <x:row r="47" ht="52" customHeight="1">
      <x:c r="A47" s="65">
        <x:v>46</x:v>
      </x:c>
      <x:c r="B47" s="65" t="s">
        <x:v>174</x:v>
      </x:c>
      <x:c r="C47" s="57" t="str">
        <x:f>'功能完成排期'!B47</x:f>
        <x:v>语言与通知</x:v>
      </x:c>
      <x:c r="D47" s="57" t="str">
        <x:f>'功能完成排期'!C47</x:f>
        <x:v>英文界面及英文自动欢迎</x:v>
      </x:c>
      <x:c r="E47" s="68" t="str">
        <x:f>'功能完成排期'!D47</x:f>
        <x:v>部分完成</x:v>
      </x:c>
      <x:c r="F47" s="65" t="str">
        <x:f>'功能完成排期'!G47</x:f>
        <x:v>中</x:v>
      </x:c>
      <x:c r="G47" s="65" t="str">
        <x:f>'功能完成排期'!I47</x:f>
        <x:v>S9</x:v>
      </x:c>
      <x:c r="H47" s="70" t="n">
        <x:f>'功能完成排期'!K47</x:f>
        <x:v>46416</x:v>
      </x:c>
      <x:c r="I47" s="57" t="str">
        <x:f>'功能完成排期'!F47</x:f>
        <x:v>清理全部页面、通知及生成文本的语言混用</x:v>
      </x:c>
      <x:c r="J47" s="57" t="str">
        <x:f>'功能完成排期'!O47</x:f>
        <x:v>英语用户端到端操作无非预期中文</x:v>
      </x:c>
    </x:row>
    <x:row r="48" ht="52" customHeight="1">
      <x:c r="A48" s="65">
        <x:v>47</x:v>
      </x:c>
      <x:c r="B48" s="65" t="s">
        <x:v>175</x:v>
      </x:c>
      <x:c r="C48" s="57" t="str">
        <x:f>'功能完成排期'!B48</x:f>
        <x:v>专家与服务目录</x:v>
      </x:c>
      <x:c r="D48" s="57" t="str">
        <x:f>'功能完成排期'!C48</x:f>
        <x:v>专家回交条件检查</x:v>
      </x:c>
      <x:c r="E48" s="68" t="str">
        <x:f>'功能完成排期'!D48</x:f>
        <x:v>部分完成</x:v>
      </x:c>
      <x:c r="F48" s="65" t="str">
        <x:f>'功能完成排期'!G48</x:f>
        <x:v>高</x:v>
      </x:c>
      <x:c r="G48" s="65" t="str">
        <x:f>'功能完成排期'!I48</x:f>
        <x:v>S10</x:v>
      </x:c>
      <x:c r="H48" s="70" t="n">
        <x:f>'功能完成排期'!K48</x:f>
        <x:v>46430</x:v>
      </x:c>
      <x:c r="I48" s="57" t="str">
        <x:f>'功能完成排期'!F48</x:f>
        <x:v>补配置化结论、恢复状态、风险和下一责任方门禁</x:v>
      </x:c>
      <x:c r="J48" s="57" t="str">
        <x:f>'功能完成排期'!O48</x:f>
        <x:v>回交不完整时继续等待并显示缺口</x:v>
      </x:c>
    </x:row>
    <x:row r="49" ht="52" customHeight="1">
      <x:c r="A49" s="65">
        <x:v>48</x:v>
      </x:c>
      <x:c r="B49" s="65" t="s">
        <x:v>176</x:v>
      </x:c>
      <x:c r="C49" s="57" t="str">
        <x:f>'功能完成排期'!B49</x:f>
        <x:v>专家与服务目录</x:v>
      </x:c>
      <x:c r="D49" s="57" t="str">
        <x:f>'功能完成排期'!C49</x:f>
        <x:v>专家等待、催办与升级</x:v>
      </x:c>
      <x:c r="E49" s="68" t="str">
        <x:f>'功能完成排期'!D49</x:f>
        <x:v>部分完成</x:v>
      </x:c>
      <x:c r="F49" s="65" t="str">
        <x:f>'功能完成排期'!G49</x:f>
        <x:v>高</x:v>
      </x:c>
      <x:c r="G49" s="65" t="str">
        <x:f>'功能完成排期'!I49</x:f>
        <x:v>S10</x:v>
      </x:c>
      <x:c r="H49" s="70" t="n">
        <x:f>'功能完成排期'!K49</x:f>
        <x:v>46430</x:v>
      </x:c>
      <x:c r="I49" s="57" t="str">
        <x:f>'功能完成排期'!F49</x:f>
        <x:v>完善独立依赖跟踪、催办、专家OLA与端到端影响显示</x:v>
      </x:c>
      <x:c r="J49" s="57" t="str">
        <x:f>'功能完成排期'!O49</x:f>
        <x:v>专家超时自动通知并保留催办记录</x:v>
      </x:c>
    </x:row>
    <x:row r="50" ht="52" customHeight="1">
      <x:c r="A50" s="65">
        <x:v>49</x:v>
      </x:c>
      <x:c r="B50" s="65" t="s">
        <x:v>177</x:v>
      </x:c>
      <x:c r="C50" s="57" t="str">
        <x:f>'功能完成排期'!B50</x:f>
        <x:v>专家与服务目录</x:v>
      </x:c>
      <x:c r="D50" s="57" t="str">
        <x:f>'功能完成排期'!C50</x:f>
        <x:v>资源不足时限制服务</x:v>
      </x:c>
      <x:c r="E50" s="69" t="str">
        <x:f>'功能完成排期'!D50</x:f>
        <x:v>待完成</x:v>
      </x:c>
      <x:c r="F50" s="65" t="str">
        <x:f>'功能完成排期'!G50</x:f>
        <x:v>高</x:v>
      </x:c>
      <x:c r="G50" s="65" t="str">
        <x:f>'功能完成排期'!I50</x:f>
        <x:v>S10</x:v>
      </x:c>
      <x:c r="H50" s="70" t="n">
        <x:f>'功能完成排期'!K50</x:f>
        <x:v>46430</x:v>
      </x:c>
      <x:c r="I50" s="57" t="str">
        <x:f>'功能完成排期'!F50</x:f>
        <x:v>按专家、权限、知识、监控、OLA缺口给出原因</x:v>
      </x:c>
      <x:c r="J50" s="57" t="str">
        <x:f>'功能完成排期'!O50</x:f>
        <x:v>缺少支援条件时明确显示限制服务及补齐项</x:v>
      </x:c>
    </x:row>
    <x:row r="51" ht="52" customHeight="1">
      <x:c r="A51" s="65">
        <x:v>50</x:v>
      </x:c>
      <x:c r="B51" s="65" t="s">
        <x:v>178</x:v>
      </x:c>
      <x:c r="C51" s="57" t="str">
        <x:f>'功能完成排期'!B51</x:f>
        <x:v>专家与服务目录</x:v>
      </x:c>
      <x:c r="D51" s="57" t="str">
        <x:f>'功能完成排期'!C51</x:f>
        <x:v>目录变更触发就绪复查</x:v>
      </x:c>
      <x:c r="E51" s="69" t="str">
        <x:f>'功能完成排期'!D51</x:f>
        <x:v>待完成</x:v>
      </x:c>
      <x:c r="F51" s="65" t="str">
        <x:f>'功能完成排期'!G51</x:f>
        <x:v>低</x:v>
      </x:c>
      <x:c r="G51" s="65" t="str">
        <x:f>'功能完成排期'!I51</x:f>
        <x:v>S10</x:v>
      </x:c>
      <x:c r="H51" s="70" t="n">
        <x:f>'功能完成排期'!K51</x:f>
        <x:v>46430</x:v>
      </x:c>
      <x:c r="I51" s="57" t="str">
        <x:f>'功能完成排期'!F51</x:f>
        <x:v>目录变化时通知受影响企业复核服务条件</x:v>
      </x:c>
      <x:c r="J51" s="57" t="str">
        <x:f>'功能完成排期'!O51</x:f>
        <x:v>更换专家或OLA后相关项目有待复核任务</x:v>
      </x:c>
    </x:row>
    <x:row r="52" ht="52" customHeight="1">
      <x:c r="A52" s="65">
        <x:v>51</x:v>
      </x:c>
      <x:c r="B52" s="65" t="s">
        <x:v>179</x:v>
      </x:c>
      <x:c r="C52" s="57" t="str">
        <x:f>'功能完成排期'!B52</x:f>
        <x:v>语言与通知</x:v>
      </x:c>
      <x:c r="D52" s="57" t="str">
        <x:f>'功能完成排期'!C52</x:f>
        <x:v>阿拉伯语、RTL及语言选择</x:v>
      </x:c>
      <x:c r="E52" s="69" t="str">
        <x:f>'功能完成排期'!D52</x:f>
        <x:v>待完成</x:v>
      </x:c>
      <x:c r="F52" s="65" t="str">
        <x:f>'功能完成排期'!G52</x:f>
        <x:v>高</x:v>
      </x:c>
      <x:c r="G52" s="65" t="str">
        <x:f>'功能完成排期'!I52</x:f>
        <x:v>S11</x:v>
      </x:c>
      <x:c r="H52" s="70" t="n">
        <x:f>'功能完成排期'!K52</x:f>
        <x:v>46444</x:v>
      </x:c>
      <x:c r="I52" s="57" t="str">
        <x:f>'功能完成排期'!F52</x:f>
        <x:v>增加阿语、右到左布局、通知和导出支持</x:v>
      </x:c>
      <x:c r="J52" s="57" t="str">
        <x:f>'功能完成排期'!O52</x:f>
        <x:v>阿语界面、机器人、表格和导出均可用</x:v>
      </x:c>
    </x:row>
    <x:row r="53" ht="52" customHeight="1">
      <x:c r="A53" s="65">
        <x:v>52</x:v>
      </x:c>
      <x:c r="B53" s="65" t="s">
        <x:v>180</x:v>
      </x:c>
      <x:c r="C53" s="57" t="str">
        <x:f>'功能完成排期'!B53</x:f>
        <x:v>数字渠道</x:v>
      </x:c>
      <x:c r="D53" s="57" t="str">
        <x:f>'功能完成排期'!C53</x:f>
        <x:v>WhatsApp客户接待</x:v>
      </x:c>
      <x:c r="E53" s="69" t="str">
        <x:f>'功能完成排期'!D53</x:f>
        <x:v>待完成</x:v>
      </x:c>
      <x:c r="F53" s="65" t="str">
        <x:f>'功能完成排期'!G53</x:f>
        <x:v>中</x:v>
      </x:c>
      <x:c r="G53" s="65" t="str">
        <x:f>'功能完成排期'!I53</x:f>
        <x:v>S11</x:v>
      </x:c>
      <x:c r="H53" s="70" t="n">
        <x:f>'功能完成排期'!K53</x:f>
        <x:v>46444</x:v>
      </x:c>
      <x:c r="I53" s="57" t="str">
        <x:f>'功能完成排期'!F53</x:f>
        <x:v>先确认 Chatwoot Community/官方 WhatsApp Cloud 架构；补独立项目实例、号码/模板、消息/媒体、范围批准和默认关闭门禁。</x:v>
      </x:c>
      <x:c r="J53" s="57" t="str">
        <x:f>'功能完成排期'!O53</x:f>
        <x:v>测试号码能双向收发并关联正确客户</x:v>
      </x:c>
    </x:row>
    <x:row r="54" ht="52" customHeight="1">
      <x:c r="A54" s="65">
        <x:v>53</x:v>
      </x:c>
      <x:c r="B54" s="65" t="s">
        <x:v>181</x:v>
      </x:c>
      <x:c r="C54" s="57" t="str">
        <x:f>'功能完成排期'!B54</x:f>
        <x:v>数字渠道</x:v>
      </x:c>
      <x:c r="D54" s="57" t="str">
        <x:f>'功能完成排期'!C54</x:f>
        <x:v>WhatsApp转人工和工单关联</x:v>
      </x:c>
      <x:c r="E54" s="68" t="str">
        <x:f>'功能完成排期'!D54</x:f>
        <x:v>部分完成</x:v>
      </x:c>
      <x:c r="F54" s="65" t="str">
        <x:f>'功能完成排期'!G54</x:f>
        <x:v>中</x:v>
      </x:c>
      <x:c r="G54" s="65" t="str">
        <x:f>'功能完成排期'!I54</x:f>
        <x:v>S12</x:v>
      </x:c>
      <x:c r="H54" s="70" t="n">
        <x:f>'功能完成排期'!K54</x:f>
        <x:v>46458</x:v>
      </x:c>
      <x:c r="I54" s="57" t="str">
        <x:f>'功能完成排期'!F54</x:f>
        <x:v>接通WhatsApp上下文、附件引用、原因和同意状态</x:v>
      </x:c>
      <x:c r="J54" s="57" t="str">
        <x:f>'功能完成排期'!O54</x:f>
        <x:v>人工可查看完整交接上下文且重复回调不重复建单</x:v>
      </x:c>
    </x:row>
    <x:row r="55" ht="52" customHeight="1">
      <x:c r="A55" s="65">
        <x:v>54</x:v>
      </x:c>
      <x:c r="B55" s="65" t="s">
        <x:v>182</x:v>
      </x:c>
      <x:c r="C55" s="57" t="str">
        <x:f>'功能完成排期'!B55</x:f>
        <x:v>数字渠道</x:v>
      </x:c>
      <x:c r="D55" s="57" t="str">
        <x:f>'功能完成排期'!C55</x:f>
        <x:v>投递状态、重复消息与失败重试</x:v>
      </x:c>
      <x:c r="E55" s="68" t="str">
        <x:f>'功能完成排期'!D55</x:f>
        <x:v>部分完成</x:v>
      </x:c>
      <x:c r="F55" s="65" t="str">
        <x:f>'功能完成排期'!G55</x:f>
        <x:v>中</x:v>
      </x:c>
      <x:c r="G55" s="65" t="str">
        <x:f>'功能完成排期'!I55</x:f>
        <x:v>S12</x:v>
      </x:c>
      <x:c r="H55" s="70" t="n">
        <x:f>'功能完成排期'!K55</x:f>
        <x:v>46458</x:v>
      </x:c>
      <x:c r="I55" s="57" t="str">
        <x:f>'功能完成排期'!F55</x:f>
        <x:v>核验消息事实源和 Provider ID；补签名/Token、重放防护、幂等、回执、重试、死信、故障告警及人工/电话/邮件降级。</x:v>
      </x:c>
      <x:c r="J55" s="57" t="str">
        <x:f>'功能完成排期'!O55</x:f>
        <x:v>断网恢复无丢单，重复消息只处理一次</x:v>
      </x:c>
    </x:row>
    <x:row r="56" ht="52" customHeight="1">
      <x:c r="A56" s="65">
        <x:v>55</x:v>
      </x:c>
      <x:c r="B56" s="65" t="s">
        <x:v>183</x:v>
      </x:c>
      <x:c r="C56" s="57" t="str">
        <x:f>'功能完成排期'!B56</x:f>
        <x:v>数字渠道</x:v>
      </x:c>
      <x:c r="D56" s="57" t="str">
        <x:f>'功能完成排期'!C56</x:f>
        <x:v>按企业开关数字渠道和Bot</x:v>
      </x:c>
      <x:c r="E56" s="68" t="str">
        <x:f>'功能完成排期'!D56</x:f>
        <x:v>部分完成</x:v>
      </x:c>
      <x:c r="F56" s="65" t="str">
        <x:f>'功能完成排期'!G56</x:f>
        <x:v>中</x:v>
      </x:c>
      <x:c r="G56" s="65" t="str">
        <x:f>'功能完成排期'!I56</x:f>
        <x:v>S12</x:v>
      </x:c>
      <x:c r="H56" s="70" t="n">
        <x:f>'功能完成排期'!K56</x:f>
        <x:v>46458</x:v>
      </x:c>
      <x:c r="I56" s="57" t="str">
        <x:f>'功能完成排期'!F56</x:f>
        <x:v>WhatsApp/基础 Bot 按项目默认关闭；开放前须项目配置、商业责任与 Readiness 全部批准；关闭时禁用公网入口。</x:v>
      </x:c>
      <x:c r="J56" s="57" t="str">
        <x:f>'功能完成排期'!O56</x:f>
        <x:v>关闭时不可接入，启用后才开放相应服务</x:v>
      </x:c>
    </x:row>
    <x:row r="57" ht="52" customHeight="1">
      <x:c r="A57" s="65">
        <x:v>56</x:v>
      </x:c>
      <x:c r="B57" s="65" t="s">
        <x:v>184</x:v>
      </x:c>
      <x:c r="C57" s="57" t="str">
        <x:f>'功能完成排期'!B57</x:f>
        <x:v>监控转工单</x:v>
      </x:c>
      <x:c r="D57" s="57" t="str">
        <x:f>'功能完成排期'!C57</x:f>
        <x:v>检查服务可用性</x:v>
      </x:c>
      <x:c r="E57" s="68" t="str">
        <x:f>'功能完成排期'!D57</x:f>
        <x:v>部分完成</x:v>
      </x:c>
      <x:c r="F57" s="65" t="str">
        <x:f>'功能完成排期'!G57</x:f>
        <x:v>中</x:v>
      </x:c>
      <x:c r="G57" s="65" t="str">
        <x:f>'功能完成排期'!I57</x:f>
        <x:v>S12</x:v>
      </x:c>
      <x:c r="H57" s="70" t="n">
        <x:f>'功能完成排期'!K57</x:f>
        <x:v>46458</x:v>
      </x:c>
      <x:c r="I57" s="57" t="str">
        <x:f>'功能完成排期'!F57</x:f>
        <x:v>补HTTP/TCP/DNS与批准的模拟检查</x:v>
      </x:c>
      <x:c r="J57" s="57" t="str">
        <x:f>'功能完成排期'!O57</x:f>
        <x:v>指定服务故障可检测并显示原因</x:v>
      </x:c>
    </x:row>
    <x:row r="58" ht="52" customHeight="1">
      <x:c r="A58" s="65">
        <x:v>57</x:v>
      </x:c>
      <x:c r="B58" s="65" t="s">
        <x:v>185</x:v>
      </x:c>
      <x:c r="C58" s="57" t="str">
        <x:f>'功能完成排期'!B58</x:f>
        <x:v>监控转工单</x:v>
      </x:c>
      <x:c r="D58" s="57" t="str">
        <x:f>'功能完成排期'!C58</x:f>
        <x:v>告警创建或关联故障事件</x:v>
      </x:c>
      <x:c r="E58" s="69" t="str">
        <x:f>'功能完成排期'!D58</x:f>
        <x:v>待完成</x:v>
      </x:c>
      <x:c r="F58" s="65" t="str">
        <x:f>'功能完成排期'!G58</x:f>
        <x:v>高</x:v>
      </x:c>
      <x:c r="G58" s="65" t="str">
        <x:f>'功能完成排期'!I58</x:f>
        <x:v>S13</x:v>
      </x:c>
      <x:c r="H58" s="70" t="n">
        <x:f>'功能完成排期'!K58</x:f>
        <x:v>46472</x:v>
      </x:c>
      <x:c r="I58" s="57" t="str">
        <x:f>'功能完成排期'!F58</x:f>
        <x:v>按服务/组件/指纹/时间窗归并建单</x:v>
      </x:c>
      <x:c r="J58" s="57" t="str">
        <x:f>'功能完成排期'!O58</x:f>
        <x:v>同故障告警关联同事件，不重复刷单</x:v>
      </x:c>
    </x:row>
    <x:row r="59" ht="52" customHeight="1">
      <x:c r="A59" s="65">
        <x:v>58</x:v>
      </x:c>
      <x:c r="B59" s="65" t="s">
        <x:v>186</x:v>
      </x:c>
      <x:c r="C59" s="57" t="str">
        <x:f>'功能完成排期'!B59</x:f>
        <x:v>监控转工单</x:v>
      </x:c>
      <x:c r="D59" s="57" t="str">
        <x:f>'功能完成排期'!C59</x:f>
        <x:v>告警恢复不直接关闭客户工单</x:v>
      </x:c>
      <x:c r="E59" s="69" t="str">
        <x:f>'功能完成排期'!D59</x:f>
        <x:v>待完成</x:v>
      </x:c>
      <x:c r="F59" s="65" t="str">
        <x:f>'功能完成排期'!G59</x:f>
        <x:v>高</x:v>
      </x:c>
      <x:c r="G59" s="65" t="str">
        <x:f>'功能完成排期'!I59</x:f>
        <x:v>S13</x:v>
      </x:c>
      <x:c r="H59" s="70" t="n">
        <x:f>'功能完成排期'!K59</x:f>
        <x:v>46472</x:v>
      </x:c>
      <x:c r="I59" s="57" t="str">
        <x:f>'功能完成排期'!F59</x:f>
        <x:v>告警恢复只更新事件，工单关闭须有解决证据</x:v>
      </x:c>
      <x:c r="J59" s="57" t="str">
        <x:f>'功能完成排期'!O59</x:f>
        <x:v>恢复告警到达后客户工单仍按确认流程关闭</x:v>
      </x:c>
    </x:row>
    <x:row r="60" ht="52" customHeight="1">
      <x:c r="A60" s="65">
        <x:v>59</x:v>
      </x:c>
      <x:c r="B60" s="65" t="s">
        <x:v>187</x:v>
      </x:c>
      <x:c r="C60" s="57" t="str">
        <x:f>'功能完成排期'!B60</x:f>
        <x:v>监控转工单</x:v>
      </x:c>
      <x:c r="D60" s="57" t="str">
        <x:f>'功能完成排期'!C60</x:f>
        <x:v>告警归并、静默和维护窗口</x:v>
      </x:c>
      <x:c r="E60" s="68" t="str">
        <x:f>'功能完成排期'!D60</x:f>
        <x:v>部分完成</x:v>
      </x:c>
      <x:c r="F60" s="65" t="str">
        <x:f>'功能完成排期'!G60</x:f>
        <x:v>中</x:v>
      </x:c>
      <x:c r="G60" s="65" t="str">
        <x:f>'功能完成排期'!I60</x:f>
        <x:v>S13</x:v>
      </x:c>
      <x:c r="H60" s="70" t="n">
        <x:f>'功能完成排期'!K60</x:f>
        <x:v>46472</x:v>
      </x:c>
      <x:c r="I60" s="57" t="str">
        <x:f>'功能完成排期'!F60</x:f>
        <x:v>验证 Alertmanager 的分组、去重、抑制、静默、路由和重试；维护窗口保留原事件与原因。</x:v>
      </x:c>
      <x:c r="J60" s="57" t="str">
        <x:f>'功能完成排期'!O60</x:f>
        <x:v>维护期不误通知且原始告警可追查</x:v>
      </x:c>
    </x:row>
    <x:row r="61" ht="52" customHeight="1">
      <x:c r="A61" s="65">
        <x:v>60</x:v>
      </x:c>
      <x:c r="B61" s="65" t="s">
        <x:v>188</x:v>
      </x:c>
      <x:c r="C61" s="57" t="str">
        <x:f>'功能完成排期'!B61</x:f>
        <x:v>质量抽检</x:v>
      </x:c>
      <x:c r="D61" s="57" t="str">
        <x:f>'功能完成排期'!C61</x:f>
        <x:v>按规则抽取工单</x:v>
      </x:c>
      <x:c r="E61" s="69" t="str">
        <x:f>'功能完成排期'!D61</x:f>
        <x:v>待完成</x:v>
      </x:c>
      <x:c r="F61" s="65" t="str">
        <x:f>'功能完成排期'!G61</x:f>
        <x:v>高</x:v>
      </x:c>
      <x:c r="G61" s="65" t="str">
        <x:f>'功能完成排期'!I61</x:f>
        <x:v>S14</x:v>
      </x:c>
      <x:c r="H61" s="70" t="n">
        <x:f>'功能完成排期'!K61</x:f>
        <x:v>46486</x:v>
      </x:c>
      <x:c r="I61" s="57" t="str">
        <x:f>'功能完成排期'!F61</x:f>
        <x:v>新增随机、优先级、新员工、投诉、重开和风险抽样</x:v>
      </x:c>
      <x:c r="J61" s="57" t="str">
        <x:f>'功能完成排期'!O61</x:f>
        <x:v>各规则能生成去重待评审工单</x:v>
      </x:c>
    </x:row>
    <x:row r="62" ht="52" customHeight="1">
      <x:c r="A62" s="65">
        <x:v>61</x:v>
      </x:c>
      <x:c r="B62" s="65" t="s">
        <x:v>189</x:v>
      </x:c>
      <x:c r="C62" s="57" t="str">
        <x:f>'功能完成排期'!B62</x:f>
        <x:v>统计与报告</x:v>
      </x:c>
      <x:c r="D62" s="57" t="str">
        <x:f>'功能完成排期'!C62</x:f>
        <x:v>服务量及超量依据</x:v>
      </x:c>
      <x:c r="E62" s="68" t="str">
        <x:f>'功能完成排期'!D62</x:f>
        <x:v>部分完成</x:v>
      </x:c>
      <x:c r="F62" s="65" t="str">
        <x:f>'功能完成排期'!G62</x:f>
        <x:v>高</x:v>
      </x:c>
      <x:c r="G62" s="65" t="str">
        <x:f>'功能完成排期'!I62</x:f>
        <x:v>S14</x:v>
      </x:c>
      <x:c r="H62" s="70" t="n">
        <x:f>'功能完成排期'!K62</x:f>
        <x:v>46486</x:v>
      </x:c>
      <x:c r="I62" s="57" t="str">
        <x:f>'功能完成排期'!F62</x:f>
        <x:v>补按项目/渠道/优先级的 Ticket、Email、Manual Call、Alert-to-ticket、Active Agent、SLA Volume 和峰值超量证据；不引入价格/账单逻辑。</x:v>
      </x:c>
      <x:c r="J62" s="57" t="str">
        <x:f>'功能完成排期'!O62</x:f>
        <x:v>按企业/渠道/优先级查数量、时长和依据</x:v>
      </x:c>
    </x:row>
    <x:row r="63" ht="52" customHeight="1">
      <x:c r="A63" s="65">
        <x:v>62</x:v>
      </x:c>
      <x:c r="B63" s="65" t="s">
        <x:v>190</x:v>
      </x:c>
      <x:c r="C63" s="57" t="str">
        <x:f>'功能完成排期'!B63</x:f>
        <x:v>统计与报告</x:v>
      </x:c>
      <x:c r="D63" s="57" t="str">
        <x:f>'功能完成排期'!C63</x:f>
        <x:v>统计数字追溯与重新计算</x:v>
      </x:c>
      <x:c r="E63" s="68" t="str">
        <x:f>'功能完成排期'!D63</x:f>
        <x:v>部分完成</x:v>
      </x:c>
      <x:c r="F63" s="65" t="str">
        <x:f>'功能完成排期'!G63</x:f>
        <x:v>高</x:v>
      </x:c>
      <x:c r="G63" s="65" t="str">
        <x:f>'功能完成排期'!I63</x:f>
        <x:v>S14</x:v>
      </x:c>
      <x:c r="H63" s="70" t="n">
        <x:f>'功能完成排期'!K63</x:f>
        <x:v>46486</x:v>
      </x:c>
      <x:c r="I63" s="57" t="str">
        <x:f>'功能完成排期'!F63</x:f>
        <x:v>按事件与已核验工单事实生成报告投影；支持源记录追溯、自动对账、差异修复审计及重建，不用看板快照作事实。</x:v>
      </x:c>
      <x:c r="J63" s="57" t="str">
        <x:f>'功能完成排期'!O63</x:f>
        <x:v>点查总量能定位来源，重算同周期结果一致</x:v>
      </x:c>
    </x:row>
    <x:row r="64" ht="52" customHeight="1">
      <x:c r="A64" s="65">
        <x:v>63</x:v>
      </x:c>
      <x:c r="B64" s="65" t="s">
        <x:v>191</x:v>
      </x:c>
      <x:c r="C64" s="57" t="str">
        <x:f>'功能完成排期'!B64</x:f>
        <x:v>监控转工单</x:v>
      </x:c>
      <x:c r="D64" s="57" t="str">
        <x:f>'功能完成排期'!C64</x:f>
        <x:v>监控覆盖缺口显示</x:v>
      </x:c>
      <x:c r="E64" s="69" t="str">
        <x:f>'功能完成排期'!D64</x:f>
        <x:v>待完成</x:v>
      </x:c>
      <x:c r="F64" s="65" t="str">
        <x:f>'功能完成排期'!G64</x:f>
        <x:v>中</x:v>
      </x:c>
      <x:c r="G64" s="65" t="str">
        <x:f>'功能完成排期'!I64</x:f>
        <x:v>S14</x:v>
      </x:c>
      <x:c r="H64" s="70" t="n">
        <x:f>'功能完成排期'!K64</x:f>
        <x:v>46486</x:v>
      </x:c>
      <x:c r="I64" s="57" t="str">
        <x:f>'功能完成排期'!F64</x:f>
        <x:v>按服务标出无数据、无权限或未覆盖原因</x:v>
      </x:c>
      <x:c r="J64" s="57" t="str">
        <x:f>'功能完成排期'!O64</x:f>
        <x:v>管理员能区分服务正常与没有监控数据</x:v>
      </x:c>
    </x:row>
    <x:row r="65" ht="52" customHeight="1">
      <x:c r="A65" s="65">
        <x:v>64</x:v>
      </x:c>
      <x:c r="B65" s="65" t="s">
        <x:v>192</x:v>
      </x:c>
      <x:c r="C65" s="57" t="str">
        <x:f>'功能完成排期'!B65</x:f>
        <x:v>质量抽检</x:v>
      </x:c>
      <x:c r="D65" s="57" t="str">
        <x:f>'功能完成排期'!C65</x:f>
        <x:v>版本化评分卡</x:v>
      </x:c>
      <x:c r="E65" s="69" t="str">
        <x:f>'功能完成排期'!D65</x:f>
        <x:v>待完成</x:v>
      </x:c>
      <x:c r="F65" s="65" t="str">
        <x:f>'功能完成排期'!G65</x:f>
        <x:v>高</x:v>
      </x:c>
      <x:c r="G65" s="65" t="str">
        <x:f>'功能完成排期'!I65</x:f>
        <x:v>S15</x:v>
      </x:c>
      <x:c r="H65" s="70" t="n">
        <x:f>'功能完成排期'!K65</x:f>
        <x:v>46500</x:v>
      </x:c>
      <x:c r="I65" s="57" t="str">
        <x:f>'功能完成排期'!F65</x:f>
        <x:v>增加身份、信息、分类、优先级、沟通、隐私、路由、跟进、关闭评分</x:v>
      </x:c>
      <x:c r="J65" s="57" t="str">
        <x:f>'功能完成排期'!O65</x:f>
        <x:v>评审记录保留当时评分卡版本</x:v>
      </x:c>
    </x:row>
    <x:row r="66" ht="52" customHeight="1">
      <x:c r="A66" s="65">
        <x:v>65</x:v>
      </x:c>
      <x:c r="B66" s="65" t="s">
        <x:v>193</x:v>
      </x:c>
      <x:c r="C66" s="57" t="str">
        <x:f>'功能完成排期'!B66</x:f>
        <x:v>质量抽检</x:v>
      </x:c>
      <x:c r="D66" s="57" t="str">
        <x:f>'功能完成排期'!C66</x:f>
        <x:v>评分、缺陷与证据评审</x:v>
      </x:c>
      <x:c r="E66" s="69" t="str">
        <x:f>'功能完成排期'!D66</x:f>
        <x:v>待完成</x:v>
      </x:c>
      <x:c r="F66" s="65" t="str">
        <x:f>'功能完成排期'!G66</x:f>
        <x:v>高</x:v>
      </x:c>
      <x:c r="G66" s="65" t="str">
        <x:f>'功能完成排期'!I66</x:f>
        <x:v>S15</x:v>
      </x:c>
      <x:c r="H66" s="70" t="n">
        <x:f>'功能完成排期'!K66</x:f>
        <x:v>46500</x:v>
      </x:c>
      <x:c r="I66" s="57" t="str">
        <x:f>'功能完成排期'!F66</x:f>
        <x:v>新增分数、缺陷码、证据、审核人和结果</x:v>
      </x:c>
      <x:c r="J66" s="57" t="str">
        <x:f>'功能完成排期'!O66</x:f>
        <x:v>每个扣分项可查证据与审核人</x:v>
      </x:c>
    </x:row>
    <x:row r="67" ht="52" customHeight="1">
      <x:c r="A67" s="65">
        <x:v>66</x:v>
      </x:c>
      <x:c r="B67" s="65" t="s">
        <x:v>194</x:v>
      </x:c>
      <x:c r="C67" s="57" t="str">
        <x:f>'功能完成排期'!B67</x:f>
        <x:v>质量抽检</x:v>
      </x:c>
      <x:c r="D67" s="57" t="str">
        <x:f>'功能完成排期'!C67</x:f>
        <x:v>争议、辅导和整改跟踪</x:v>
      </x:c>
      <x:c r="E67" s="69" t="str">
        <x:f>'功能完成排期'!D67</x:f>
        <x:v>待完成</x:v>
      </x:c>
      <x:c r="F67" s="65" t="str">
        <x:f>'功能完成排期'!G67</x:f>
        <x:v>中</x:v>
      </x:c>
      <x:c r="G67" s="65" t="str">
        <x:f>'功能完成排期'!I67</x:f>
        <x:v>S16</x:v>
      </x:c>
      <x:c r="H67" s="70" t="n">
        <x:f>'功能完成排期'!K67</x:f>
        <x:v>46514</x:v>
      </x:c>
      <x:c r="I67" s="57" t="str">
        <x:f>'功能完成排期'!F67</x:f>
        <x:v>增加争议处理、辅导任务、整改负责人和到期日</x:v>
      </x:c>
      <x:c r="J67" s="57" t="str">
        <x:f>'功能完成排期'!O67</x:f>
        <x:v>评审结果可申诉并跟踪整改关闭</x:v>
      </x:c>
    </x:row>
    <x:row r="68" ht="52" customHeight="1">
      <x:c r="A68" s="65">
        <x:v>67</x:v>
      </x:c>
      <x:c r="B68" s="65" t="s">
        <x:v>195</x:v>
      </x:c>
      <x:c r="C68" s="57" t="str">
        <x:f>'功能完成排期'!B68</x:f>
        <x:v>质量抽检</x:v>
      </x:c>
      <x:c r="D68" s="57" t="str">
        <x:f>'功能完成排期'!C68</x:f>
        <x:v>企业、团队、人员等质量分析</x:v>
      </x:c>
      <x:c r="E68" s="69" t="str">
        <x:f>'功能完成排期'!D68</x:f>
        <x:v>待完成</x:v>
      </x:c>
      <x:c r="F68" s="65" t="str">
        <x:f>'功能完成排期'!G68</x:f>
        <x:v>中</x:v>
      </x:c>
      <x:c r="G68" s="65" t="str">
        <x:f>'功能完成排期'!I68</x:f>
        <x:v>S16</x:v>
      </x:c>
      <x:c r="H68" s="70" t="n">
        <x:f>'功能完成排期'!K68</x:f>
        <x:v>46514</x:v>
      </x:c>
      <x:c r="I68" s="57" t="str">
        <x:f>'功能完成排期'!F68</x:f>
        <x:v>增加QA多维筛选及人员数据权限</x:v>
      </x:c>
      <x:c r="J68" s="57" t="str">
        <x:f>'功能完成排期'!O68</x:f>
        <x:v>按企业/团队/人员/渠道/周期查看授权结果</x:v>
      </x:c>
    </x:row>
    <x:row r="69" ht="52" customHeight="1">
      <x:c r="A69" s="65">
        <x:v>68</x:v>
      </x:c>
      <x:c r="B69" s="65" t="s">
        <x:v>196</x:v>
      </x:c>
      <x:c r="C69" s="57" t="str">
        <x:f>'功能完成排期'!B69</x:f>
        <x:v>质量抽检</x:v>
      </x:c>
      <x:c r="D69" s="57" t="str">
        <x:f>'功能完成排期'!C69</x:f>
        <x:v>严重安全缺陷转调查</x:v>
      </x:c>
      <x:c r="E69" s="69" t="str">
        <x:f>'功能完成排期'!D69</x:f>
        <x:v>待完成</x:v>
      </x:c>
      <x:c r="F69" s="65" t="str">
        <x:f>'功能完成排期'!G69</x:f>
        <x:v>中</x:v>
      </x:c>
      <x:c r="G69" s="65" t="str">
        <x:f>'功能完成排期'!I69</x:f>
        <x:v>S16</x:v>
      </x:c>
      <x:c r="H69" s="70" t="n">
        <x:f>'功能完成排期'!K69</x:f>
        <x:v>46514</x:v>
      </x:c>
      <x:c r="I69" s="57" t="str">
        <x:f>'功能完成排期'!F69</x:f>
        <x:v>严重隐私或安全缺陷自动生成调查任务</x:v>
      </x:c>
      <x:c r="J69" s="57" t="str">
        <x:f>'功能完成排期'!O69</x:f>
        <x:v>触发后有独立负责人、证据和处理记录</x:v>
      </x:c>
    </x:row>
    <x:row r="70" ht="52" customHeight="1">
      <x:c r="A70" s="65">
        <x:v>69</x:v>
      </x:c>
      <x:c r="B70" s="65" t="s">
        <x:v>197</x:v>
      </x:c>
      <x:c r="C70" s="57" t="str">
        <x:f>'功能完成排期'!B70</x:f>
        <x:v>统计与报告</x:v>
      </x:c>
      <x:c r="D70" s="57" t="str">
        <x:f>'功能完成排期'!C70</x:f>
        <x:v>完整月度服务报告</x:v>
      </x:c>
      <x:c r="E70" s="68" t="str">
        <x:f>'功能完成排期'!D70</x:f>
        <x:v>部分完成</x:v>
      </x:c>
      <x:c r="F70" s="65" t="str">
        <x:f>'功能完成排期'!G70</x:f>
        <x:v>高</x:v>
      </x:c>
      <x:c r="G70" s="65" t="str">
        <x:f>'功能完成排期'!I70</x:f>
        <x:v>S17</x:v>
      </x:c>
      <x:c r="H70" s="70" t="n">
        <x:f>'功能完成排期'!K70</x:f>
        <x:v>46528</x:v>
      </x:c>
      <x:c r="I70" s="57" t="str">
        <x:f>'功能完成排期'!F70</x:f>
        <x:v>补需求、渠道、优先级、时限、依赖、积压、QA、容量和行动项</x:v>
      </x:c>
      <x:c r="J70" s="57" t="str">
        <x:f>'功能完成排期'!O70</x:f>
        <x:v>一份月报覆盖文档要求的业务主题</x:v>
      </x:c>
    </x:row>
    <x:row r="71" ht="52" customHeight="1">
      <x:c r="A71" s="65">
        <x:v>70</x:v>
      </x:c>
      <x:c r="B71" s="65" t="s">
        <x:v>198</x:v>
      </x:c>
      <x:c r="C71" s="57" t="str">
        <x:f>'功能完成排期'!B71</x:f>
        <x:v>统计与报告</x:v>
      </x:c>
      <x:c r="D71" s="57" t="str">
        <x:f>'功能完成排期'!C71</x:f>
        <x:v>PDF、Excel、CSV报告导出</x:v>
      </x:c>
      <x:c r="E71" s="68" t="str">
        <x:f>'功能完成排期'!D71</x:f>
        <x:v>部分完成</x:v>
      </x:c>
      <x:c r="F71" s="65" t="str">
        <x:f>'功能完成排期'!G71</x:f>
        <x:v>高</x:v>
      </x:c>
      <x:c r="G71" s="65" t="str">
        <x:f>'功能完成排期'!I71</x:f>
        <x:v>S17</x:v>
      </x:c>
      <x:c r="H71" s="70" t="n">
        <x:f>'功能完成排期'!K71</x:f>
        <x:v>46528</x:v>
      </x:c>
      <x:c r="I71" s="57" t="str">
        <x:f>'功能完成排期'!F71</x:f>
        <x:v>补 PDF/XLSX/CSV 一致制品与版本化模板；原文指定 WeasyPrint/XlsxWriter，若采用当前技术栈需先记录替代决定。</x:v>
      </x:c>
      <x:c r="J71" s="57" t="str">
        <x:f>'功能完成排期'!O71</x:f>
        <x:v>三种导出可打开且业务数字一致</x:v>
      </x:c>
    </x:row>
    <x:row r="72" ht="52" customHeight="1">
      <x:c r="A72" s="65">
        <x:v>71</x:v>
      </x:c>
      <x:c r="B72" s="65" t="s">
        <x:v>199</x:v>
      </x:c>
      <x:c r="C72" s="57" t="str">
        <x:f>'功能完成排期'!B72</x:f>
        <x:v>数据与记录</x:v>
      </x:c>
      <x:c r="D72" s="57" t="str">
        <x:f>'功能完成排期'!C72</x:f>
        <x:v>病毒扫描与隔离区</x:v>
      </x:c>
      <x:c r="E72" s="68" t="str">
        <x:f>'功能完成排期'!D72</x:f>
        <x:v>部分完成</x:v>
      </x:c>
      <x:c r="F72" s="65" t="str">
        <x:f>'功能完成排期'!G72</x:f>
        <x:v>高</x:v>
      </x:c>
      <x:c r="G72" s="65" t="str">
        <x:f>'功能完成排期'!I72</x:f>
        <x:v>S18</x:v>
      </x:c>
      <x:c r="H72" s="70" t="n">
        <x:f>'功能完成排期'!K72</x:f>
        <x:v>46542</x:v>
      </x:c>
      <x:c r="I72" s="57" t="str">
        <x:f>'功能完成排期'!F72</x:f>
        <x:v>按原文强制 ClamAV 和 Fail Closed；命中、超限、解压异常、扫描失败进入隔离区并限制访问，验证全入口。</x:v>
      </x:c>
      <x:c r="J72" s="57" t="str">
        <x:f>'功能完成排期'!O72</x:f>
        <x:v>未通过扫描不可访问；命中、超限、解压异常及扫描失败均有隔离记录与授权处置，不只是返回上传错误。</x:v>
      </x:c>
    </x:row>
    <x:row r="73" ht="52" customHeight="1">
      <x:c r="A73" s="65">
        <x:v>72</x:v>
      </x:c>
      <x:c r="B73" s="65" t="s">
        <x:v>200</x:v>
      </x:c>
      <x:c r="C73" s="57" t="str">
        <x:f>'功能完成排期'!B73</x:f>
        <x:v>统计与报告</x:v>
      </x:c>
      <x:c r="D73" s="57" t="str">
        <x:f>'功能完成排期'!C73</x:f>
        <x:v>报告截止时间、版本及更正记录</x:v>
      </x:c>
      <x:c r="E73" s="69" t="str">
        <x:f>'功能完成排期'!D73</x:f>
        <x:v>待完成</x:v>
      </x:c>
      <x:c r="F73" s="65" t="str">
        <x:f>'功能完成排期'!G73</x:f>
        <x:v>中</x:v>
      </x:c>
      <x:c r="G73" s="65" t="str">
        <x:f>'功能完成排期'!I73</x:f>
        <x:v>S18</x:v>
      </x:c>
      <x:c r="H73" s="70" t="n">
        <x:f>'功能完成排期'!K73</x:f>
        <x:v>46542</x:v>
      </x:c>
      <x:c r="I73" s="57" t="str">
        <x:f>'功能完成排期'!F73</x:f>
        <x:v>增加周期、时区、截止水位、模板/口径版本、校验和及更正原因</x:v>
      </x:c>
      <x:c r="J73" s="57" t="str">
        <x:f>'功能完成排期'!O73</x:f>
        <x:v>更正生成新版本，旧报告不被覆盖</x:v>
      </x:c>
    </x:row>
    <x:row r="74" ht="52" customHeight="1">
      <x:c r="A74" s="65">
        <x:v>73</x:v>
      </x:c>
      <x:c r="B74" s="65" t="s">
        <x:v>201</x:v>
      </x:c>
      <x:c r="C74" s="57" t="str">
        <x:f>'功能完成排期'!B74</x:f>
        <x:v>统计与报告</x:v>
      </x:c>
      <x:c r="D74" s="57" t="str">
        <x:f>'功能完成排期'!C74</x:f>
        <x:v>月报审核、交付和历史归档</x:v>
      </x:c>
      <x:c r="E74" s="69" t="str">
        <x:f>'功能完成排期'!D74</x:f>
        <x:v>待完成</x:v>
      </x:c>
      <x:c r="F74" s="65" t="str">
        <x:f>'功能完成排期'!G74</x:f>
        <x:v>中</x:v>
      </x:c>
      <x:c r="G74" s="65" t="str">
        <x:f>'功能完成排期'!I74</x:f>
        <x:v>S18</x:v>
      </x:c>
      <x:c r="H74" s="70" t="n">
        <x:f>'功能完成排期'!K74</x:f>
        <x:v>46542</x:v>
      </x:c>
      <x:c r="I74" s="57" t="str">
        <x:f>'功能完成排期'!F74</x:f>
        <x:v>新增审核批准、交付结果与历史文件归档</x:v>
      </x:c>
      <x:c r="J74" s="57" t="str">
        <x:f>'功能完成排期'!O74</x:f>
        <x:v>批准后交付且能查接收记录和历史版本</x:v>
      </x:c>
    </x:row>
    <x:row r="75" ht="52" customHeight="1">
      <x:c r="A75" s="65">
        <x:v>74</x:v>
      </x:c>
      <x:c r="B75" s="65" t="s">
        <x:v>202</x:v>
      </x:c>
      <x:c r="C75" s="57" t="str">
        <x:f>'功能完成排期'!B75</x:f>
        <x:v>统计与报告</x:v>
      </x:c>
      <x:c r="D75" s="57" t="str">
        <x:f>'功能完成排期'!C75</x:f>
        <x:v>按权限临时导出指定字段</x:v>
      </x:c>
      <x:c r="E75" s="68" t="str">
        <x:f>'功能完成排期'!D75</x:f>
        <x:v>部分完成</x:v>
      </x:c>
      <x:c r="F75" s="65" t="str">
        <x:f>'功能完成排期'!G75</x:f>
        <x:v>中</x:v>
      </x:c>
      <x:c r="G75" s="65" t="str">
        <x:f>'功能完成排期'!I75</x:f>
        <x:v>S18</x:v>
      </x:c>
      <x:c r="H75" s="70" t="n">
        <x:f>'功能完成排期'!K75</x:f>
        <x:v>46542</x:v>
      </x:c>
      <x:c r="I75" s="57" t="str">
        <x:f>'功能完成排期'!F75</x:f>
        <x:v>补可选字段白名单、企业范围及导出审计</x:v>
      </x:c>
      <x:c r="J75" s="57" t="str">
        <x:f>'功能完成排期'!O75</x:f>
        <x:v>无权限字段不能导出，导出可追溯</x:v>
      </x:c>
    </x:row>
    <x:row r="76" ht="52" customHeight="1">
      <x:c r="A76" s="65">
        <x:v>75</x:v>
      </x:c>
      <x:c r="B76" s="65" t="s">
        <x:v>203</x:v>
      </x:c>
      <x:c r="C76" s="57" t="str">
        <x:f>'功能完成排期'!B76</x:f>
        <x:v>数据与记录</x:v>
      </x:c>
      <x:c r="D76" s="57" t="str">
        <x:f>'功能完成排期'!C76</x:f>
        <x:v>数据到期清理</x:v>
      </x:c>
      <x:c r="E76" s="68" t="str">
        <x:f>'功能完成排期'!D76</x:f>
        <x:v>部分完成</x:v>
      </x:c>
      <x:c r="F76" s="65" t="str">
        <x:f>'功能完成排期'!G76</x:f>
        <x:v>中</x:v>
      </x:c>
      <x:c r="G76" s="65" t="str">
        <x:f>'功能完成排期'!I76</x:f>
        <x:v>S18</x:v>
      </x:c>
      <x:c r="H76" s="70" t="n">
        <x:f>'功能完成排期'!K76</x:f>
        <x:v>46542</x:v>
      </x:c>
      <x:c r="I76" s="57" t="str">
        <x:f>'功能完成排期'!F76</x:f>
        <x:v>按项目批准 Ticket/Attachment/Event/Audit/Metric/Log/Report/Backup 留存；验证主存储、索引、缓存及后续备份到期，支持审计和重试。</x:v>
      </x:c>
      <x:c r="J76" s="57" t="str">
        <x:f>'功能完成排期'!O76</x:f>
        <x:v>到期清理可重试，未到期不误删</x:v>
      </x:c>
    </x:row>
    <x:row r="77" ht="52" customHeight="1">
      <x:c r="A77" s="65">
        <x:v>76</x:v>
      </x:c>
      <x:c r="B77" s="65" t="s">
        <x:v>204</x:v>
      </x:c>
      <x:c r="C77" s="57" t="str">
        <x:f>'功能完成排期'!B77</x:f>
        <x:v>数据与记录</x:v>
      </x:c>
      <x:c r="D77" s="57" t="str">
        <x:f>'功能完成排期'!C77</x:f>
        <x:v>法律保留与暂停删除</x:v>
      </x:c>
      <x:c r="E77" s="69" t="str">
        <x:f>'功能完成排期'!D77</x:f>
        <x:v>待完成</x:v>
      </x:c>
      <x:c r="F77" s="65" t="str">
        <x:f>'功能完成排期'!G77</x:f>
        <x:v>高</x:v>
      </x:c>
      <x:c r="G77" s="65" t="str">
        <x:f>'功能完成排期'!I77</x:f>
        <x:v>S19</x:v>
      </x:c>
      <x:c r="H77" s="70" t="n">
        <x:f>'功能完成排期'!K77</x:f>
        <x:v>46556</x:v>
      </x:c>
      <x:c r="I77" s="57" t="str">
        <x:f>'功能完成排期'!F77</x:f>
        <x:v>增加保留范围、批准人、原因、开始/释放及删除拦截</x:v>
      </x:c>
      <x:c r="J77" s="57" t="str">
        <x:f>'功能完成排期'!O77</x:f>
        <x:v>Legal Hold 范围、批准人、原因、开始/释放可查，受影响记录自动删除被阻止；人工删除限制作为实施控制另验。</x:v>
      </x:c>
    </x:row>
    <x:row r="78" ht="52" customHeight="1">
      <x:c r="A78" s="65">
        <x:v>77</x:v>
      </x:c>
      <x:c r="B78" s="65" t="s">
        <x:v>205</x:v>
      </x:c>
      <x:c r="C78" s="57" t="str">
        <x:f>'功能完成排期'!B78</x:f>
        <x:v>数据与记录</x:v>
      </x:c>
      <x:c r="D78" s="57" t="str">
        <x:f>'功能完成排期'!C78</x:f>
        <x:v>完整退出交接包</x:v>
      </x:c>
      <x:c r="E78" s="68" t="str">
        <x:f>'功能完成排期'!D78</x:f>
        <x:v>部分完成</x:v>
      </x:c>
      <x:c r="F78" s="65" t="str">
        <x:f>'功能完成排期'!G78</x:f>
        <x:v>高</x:v>
      </x:c>
      <x:c r="G78" s="65" t="str">
        <x:f>'功能完成排期'!I78</x:f>
        <x:v>S19</x:v>
      </x:c>
      <x:c r="H78" s="70" t="n">
        <x:f>'功能完成排期'!K78</x:f>
        <x:v>46556</x:v>
      </x:c>
      <x:c r="I78" s="57" t="str">
        <x:f>'功能完成排期'!F78</x:f>
        <x:v>按约定导出工单/文章/附件/开放工单/历史报告/字典/清单及校验和，验证离线可读；排除平台源码、内部模板和 DayPop IP。</x:v>
      </x:c>
      <x:c r="J78" s="57" t="str">
        <x:f>'功能完成排期'!O78</x:f>
        <x:v>客户可离线读取全部约定资料并核对完整性</x:v>
      </x:c>
    </x:row>
    <x:row r="79" ht="52" customHeight="1">
      <x:c r="A79" s="65">
        <x:v>78</x:v>
      </x:c>
      <x:c r="B79" s="65" t="s">
        <x:v>206</x:v>
      </x:c>
      <x:c r="C79" s="57" t="str">
        <x:f>'功能完成排期'!B79</x:f>
        <x:v>数据与记录</x:v>
      </x:c>
      <x:c r="D79" s="57" t="str">
        <x:f>'功能完成排期'!C79</x:f>
        <x:v>客户数据请求与限定导出</x:v>
      </x:c>
      <x:c r="E79" s="68" t="str">
        <x:f>'功能完成排期'!D79</x:f>
        <x:v>部分完成</x:v>
      </x:c>
      <x:c r="F79" s="65" t="str">
        <x:f>'功能完成排期'!G79</x:f>
        <x:v>中</x:v>
      </x:c>
      <x:c r="G79" s="65" t="str">
        <x:f>'功能完成排期'!I79</x:f>
        <x:v>S19</x:v>
      </x:c>
      <x:c r="H79" s="70" t="n">
        <x:f>'功能完成排期'!K79</x:f>
        <x:v>46556</x:v>
      </x:c>
      <x:c r="I79" s="57" t="str">
        <x:f>'功能完成排期'!F79</x:f>
        <x:v>补按客户身份限定范围检索、审批与导出</x:v>
      </x:c>
      <x:c r="J79" s="57" t="str">
        <x:f>'功能完成排期'!O79</x:f>
        <x:v>导出仅包含该客户授权范围数据</x:v>
      </x:c>
    </x:row>
  </x:sheetData>
  <x:pageMargins left="0.7" right="0.7" top="0.75" bottom="0.75" header="0.3" footer="0.3"/>
  <x:tableParts count="1">
    <x:tablePart xmlns:r="http://schemas.openxmlformats.org/officeDocument/2006/relationships" r:id="R996d2f78bbc5429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33" hidden="0" customWidth="1"/>
    <x:col min="3" max="3" width="37" hidden="0" customWidth="1"/>
    <x:col min="4" max="4" width="120" hidden="0" customWidth="1"/>
    <x:col min="5" max="5" width="100" hidden="0" customWidth="1"/>
    <x:col min="6" max="6" width="70" hidden="0" customWidth="1"/>
    <x:col min="7" max="7" width="84" hidden="0" customWidth="1"/>
    <x:col min="8" max="8" width="90" hidden="0" customWidth="1"/>
    <x:col min="9" max="9" width="16" hidden="0" customWidth="1"/>
    <x:col min="10" max="10" width="88" hidden="0" customWidth="1"/>
    <x:col min="11" max="11" width="78" hidden="0" customWidth="1"/>
  </x:cols>
  <x:sheetData>
    <x:row r="1" ht="30" customHeight="1">
      <x:c r="A1" s="72" t="str">
        <x:v>逐项核查依据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</x:row>
    <x:row r="2" ht="38" customHeight="1">
      <x:c r="A2" s="34" t="str">
        <x:v>核查日期：2026-09-08。代码依据为当前本地工作树（含未提交改动），HEAD 84d739ac08a9；本次未执行单元测试或端到端验收。原表状态保留在 I 列。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</x:row>
    <x:row r="4" ht="30" customHeight="1">
      <x:c r="A4" s="47" t="str">
        <x:v>功能ID</x:v>
      </x:c>
      <x:c r="B4" s="47" t="str">
        <x:v>需求性质</x:v>
      </x:c>
      <x:c r="C4" s="47" t="str">
        <x:v>真实编号/章节</x:v>
      </x:c>
      <x:c r="D4" s="47" t="str">
        <x:v>原文摘录（非改写）</x:v>
      </x:c>
      <x:c r="E4" s="47" t="str">
        <x:v>代码/历史证据定位</x:v>
      </x:c>
      <x:c r="F4" s="47" t="str">
        <x:v>证据能证明什么</x:v>
      </x:c>
      <x:c r="G4" s="47" t="str">
        <x:v>不能证明什么/剩余风险</x:v>
      </x:c>
      <x:c r="H4" s="47" t="str">
        <x:v>建议验证与留证</x:v>
      </x:c>
      <x:c r="I4" s="47" t="str">
        <x:v>原表状态</x:v>
      </x:c>
      <x:c r="J4" s="47" t="str">
        <x:v>修订理由</x:v>
      </x:c>
      <x:c r="K4" s="47" t="str">
        <x:v>排期待确认事项</x:v>
      </x:c>
    </x:row>
    <x:row r="5" ht="122" customHeight="1">
      <x:c r="A5" s="34" t="str">
        <x:v>FUN-008</x:v>
      </x:c>
      <x:c r="B5" s="34" t="str">
        <x:v>原文要求（功能拆分）</x:v>
      </x:c>
      <x:c r="C5" s="34" t="str">
        <x:v>TKT-001；TKT-002；§2.3；§9.1</x:v>
      </x:c>
      <x:c r="D5" s="34" t="str">
        <x:v>TKT-001 [MUST] V1 必须支持 Email、Manual Phone、Monitoring Alert、REST API/Webhook、WhatsApp Conversation 和 Chatbot Handoff 六类来源，并保留原始 Channel 和 Source Record ID；未启用渠道不得暴露公网入口
TKT-002 [MUST] 根据 Channel、Ticket Type 和 Project Policy 校验必填上下文；未满足时明确标记 Context Incomplete，不得伪造数据
§2.3 [设计章节（非需求编号）] 公众用户通过 Email 或电话联系 DayPop L1，Agent 在 GLPI 创建或更新工单。
§9.1 [设计章节（非需求编号）] Receive：Email、Phone、Alert 或 API 创建 Source Record。 Validate：校验 Project、Identity、Channel、必填上下文、Attachment 和 Duplicate Signal。 Create/Acknowledge：GLPI 生成 Ticket，Ops Core 接收 ticket.created 并启动 End-to-end Clock。</x:v>
      </x:c>
      <x:c r="E5" s="34" t="str">
        <x:v>D:/work/helpdesk/internal/pkg/dto/request/ticket_request.go:5
D:/work/helpdesk/web/app/enterprise/tickets/page.tsx:451
D:/work/helpdesk/web/app/enterprise/tickets/page.tsx:452</x:v>
      </x:c>
      <x:c r="F5" s="34" t="str">
        <x:v>已核查人工建单接口；企业新建页固定提交 manual/enterprise。创建请求中未见独立 source_record_id。</x:v>
      </x:c>
      <x:c r="G5" s="34" t="str">
        <x:v>静态代码已证实企业页面渠道固定；尚未运行电话建单场景。项目必填来电信息需确认。</x:v>
      </x:c>
      <x:c r="H5" s="34" t="str">
        <x:v>客服接听后人工建单；详情与接口保留电话渠道、可追溯的受理记录标识；缺少项目必填信息时明确标记。
留证：环境/版本、前置配置、输入、实际与预期、截图或脱敏接口响应、测试人及时间。</x:v>
      </x:c>
      <x:c r="I5" s="34" t="str">
        <x:v>待验证</x:v>
      </x:c>
      <x:c r="J5" s="34" t="str">
        <x:v>原文为 Manual Phone，不是来电自动建单。Asterisk CTI 属于 V1 后可选能力；源记录 ID 不必等同于电话平台通话编号。
原表状态：待验证。</x:v>
      </x:c>
      <x:c r="K5" s="34" t="str">
        <x:v>需重估：原 S0 只排 3 人日验证，已发现实现缺口；开发修复不能隐含在验证工时中。</x:v>
      </x:c>
    </x:row>
    <x:row r="6" ht="94" customHeight="1">
      <x:c r="A6" s="34" t="str">
        <x:v>FUN-031</x:v>
      </x:c>
      <x:c r="B6" s="34" t="str">
        <x:v>原文要求（功能拆分）</x:v>
      </x:c>
      <x:c r="C6" s="34" t="str">
        <x:v>REG-004；§8.5；§9.2</x:v>
      </x:c>
      <x:c r="D6" s="34" t="str">
        <x:v>REG-004 [MUST] Expert Handoff 必须包含问题描述、影响、已执行动作、证据、时间线和明确问题；Handback 必须满足配置的返回条件
§8.5 [设计章节（非需求编号）] 无论渠道如何，Ops Core 必须生成内部 Dependency ID，记录 External Reference、Acknowledgement、Follow-up、Handback、OLA 和当前责任状态。外部系统不得成为 DayPop Clock 的唯一事实源。
§9.2 [设计章节（非需求编号）] 形成结构化 Problem Statement、Impact、Priority、Timeline、Evidence 和已执行动作。 指明要求专家回答的问题和期望 Handback Content。</x:v>
      </x:c>
      <x:c r="E6" s="34" t="str">
        <x:v>D:/work/helpdesk/internal/pkg/dto/ticket_supplier_collaboration_dto.go:3
D:/work/helpdesk/internal/services/ticket_supplier_collaboration_service.go:831
D:/work/helpdesk/internal/services/ticket_supplier_collaboration_service_test.go:438</x:v>
      </x:c>
      <x:c r="F6" s="34" t="str">
        <x:v>已核查供应商邀请、接受及处理接口；邀请参数主要是原因和访问范围，尚不能证明完整结构化专家交接。</x:v>
      </x:c>
      <x:c r="G6" s="34" t="str">
        <x:v>邀请接收基础与 REG-004 六类结构化交接及第 8.5 节依赖记录之间仍有缺口。</x:v>
      </x:c>
      <x:c r="H6" s="34" t="str">
        <x:v>专家接收六类结构化内容；内部依赖编号、外部引用、接收确认与跟进记录可追查，回交按配置条件验收。
留证：环境/版本、前置配置、输入、实际与预期、截图或脱敏接口响应、测试人及时间。</x:v>
      </x:c>
      <x:c r="I6" s="34" t="str">
        <x:v>待验证</x:v>
      </x:c>
      <x:c r="J6" s="34" t="str">
        <x:v>原验收遗漏时间线；外部编号和接收确认来自第 8.5 节，不能只引用 REG-004。供应商协作只作为可复用基础。
原表状态：待验证。</x:v>
      </x:c>
      <x:c r="K6" s="34" t="str">
        <x:v>需重估：原 S0 只排 3 人日验证，已发现实现缺口；开发修复不能隐含在验证工时中。</x:v>
      </x:c>
    </x:row>
    <x:row r="7" ht="52" customHeight="1">
      <x:c r="A7" s="34" t="str">
        <x:v>FUN-037</x:v>
      </x:c>
      <x:c r="B7" s="34" t="str">
        <x:v>原文目标与系统接单扩展混合</x:v>
      </x:c>
      <x:c r="C7" s="34" t="str">
        <x:v>SLA-005</x:v>
      </x:c>
      <x:c r="D7" s="34" t="str">
        <x:v>SLA-005 [MUST] Acknowledgement、First Response、Update Cadence、Escalation、Restore 和 Resolve 必须分别计时、预警和报告</x:v>
      </x:c>
      <x:c r="E7" s="34" t="str">
        <x:v>D:/work/helpdesk/internal/services/sla_service.go:913
D:/work/helpdesk/internal/services/sla_service.go:1017
D:/work/helpdesk/internal/services/sla_escalation_tenant_test.go:70</x:v>
      </x:c>
      <x:c r="F7" s="34" t="str">
        <x:v>已核查 frt、assignment、resolution 三类扫描；assignment 以工程师 AcceptedAt 停止，不以分配时间停止。</x:v>
      </x:c>
      <x:c r="G7" s="34" t="str">
        <x:v>扫描仅三类且接单停止点是 AcceptedAt；人工无会话首响、日历和全部六类目标未验收。</x:v>
      </x:c>
      <x:c r="H7" s="34" t="str">
        <x:v>首响和解决独立计时/预警/报告；接单扩展按确认口径回归。不得以这三类测试代替 SLA-005 六类目标验收。
留证：环境/版本、前置配置、输入、实际与预期、截图或脱敏接口响应、测试人及时间。</x:v>
      </x:c>
      <x:c r="I7" s="34" t="str">
        <x:v>待验证</x:v>
      </x:c>
      <x:c r="J7" s="34" t="str">
        <x:v>SLA-005 是接收确认、首响、周期更新、升级、恢复、解决六类；原表“分配”与当前 AcceptedAt 语义均不准确。
原表状态：待验证。</x:v>
      </x:c>
      <x:c r="K7" s="34" t="str">
        <x:v>需重估：原 S0 只排 3 人日验证，已发现实现缺口；开发修复不能隐含在验证工时中。</x:v>
      </x:c>
    </x:row>
    <x:row r="8" ht="66" customHeight="1">
      <x:c r="A8" s="34" t="str">
        <x:v>FUN-083</x:v>
      </x:c>
      <x:c r="B8" s="34" t="str">
        <x:v>原文要求（功能拆分）</x:v>
      </x:c>
      <x:c r="C8" s="34" t="str">
        <x:v>TKT-007；SEC-003</x:v>
      </x:c>
      <x:c r="D8" s="34" t="str">
        <x:v>TKT-007 [MUST] 所有入站附件必须先由 ClamAV 扫描；命中、超限、解压异常或扫描失败均进入 Quarantine
SEC-003 [MUST] Attachment 强制扫描、类型/大小/压缩限制和 Quarantine；Scanner Failure 采用 Fail Closed</x:v>
      </x:c>
      <x:c r="E8" s="34" t="str">
        <x:v>D:/work/helpdesk/internal/services/asset_upload_security.go:59
D:/work/helpdesk/internal/services/asset_upload_security_test.go:13
D:/work/helpdesk/internal/services/asset_upload_security_test.go:75
D:/work/helpdesk/internal/services/asset_upload_security_test.go:88</x:v>
      </x:c>
      <x:c r="F8" s="34" t="str">
        <x:v>已定位与本项有关的实现/测试入口；测试源码不等于本次执行结果。</x:v>
      </x:c>
      <x:c r="G8" s="34" t="str">
        <x:v>公共检查与测试源码存在；所有上传入口、压缩限制及隔离行为未端到端执行。</x:v>
      </x:c>
      <x:c r="H8" s="34" t="str">
        <x:v>所有入口按批准规则处理危险类型、大小边界和异常压缩；应隔离的附件不能只丢弃，隔离证据在 FUN-084 验证。
留证：环境/版本、前置配置、输入、实际与预期、截图或脱敏接口响应、测试人及时间。</x:v>
      </x:c>
      <x:c r="I8" s="34" t="str">
        <x:v>待验证</x:v>
      </x:c>
      <x:c r="J8" s="34" t="str">
        <x:v>公共上传检查不代表全部入口；TKT-007/SEC-003 还要求隔离，不能仅以拒绝文件判整条通过。
原表状态：待验证。</x:v>
      </x:c>
      <x:c r="K8" s="34" t="str">
        <x:v>待团队确认：人力、依赖、范围、节假日与剩余工作量。原日期/人日仅保留讨论。</x:v>
      </x:c>
    </x:row>
    <x:row r="9" ht="66" customHeight="1">
      <x:c r="A9" s="34" t="str">
        <x:v>FUN-004</x:v>
      </x:c>
      <x:c r="B9" s="34" t="str">
        <x:v>原文要求（功能拆分）</x:v>
      </x:c>
      <x:c r="C9" s="34" t="str">
        <x:v>IAM-001；§8.2</x:v>
      </x:c>
      <x:c r="D9" s="34" t="str">
        <x:v>IAM-001 [MUST] 所有 Agent 和管理人员必须通过中央 Keycloak 登录；oauth2-proxy 完成 OIDC 验证并向 GLPI 注入可信身份头
§8.2 [设计章节（非需求编号）] oauth2-proxy 验证 Token，移除外部伪造头，并注入批准 Identity Header。 GLPI 使用 HTTP External Authentication 识别用户并应用 Project Role Mapping。 Logout 进入批准的 GLPI、oauth2-proxy 与 Keycloak Session 失效流程。</x:v>
      </x:c>
      <x:c r="E9" s="34" t="str">
        <x:v>D:/work/helpdesk/internal/services/oidc_login_service.go:62
D:/work/helpdesk/internal/services/oidc_login_service.go:126
D:/work/helpdesk/internal/services/oidc_login_service_test.go:12</x:v>
      </x:c>
      <x:c r="F9" s="34" t="str">
        <x:v>已核查自研 OIDC 授权码登录和自动创建系统用户；并非原文 Keycloak、oauth2-proxy、GLPI 可信身份头完整链路。</x:v>
      </x:c>
      <x:c r="G9" s="34" t="str">
        <x:v>通用 OIDC 基础不能证明中央 Keycloak、可信头、租户角色映射和完整退出链路。测试源码存在不代表本次运行通过。</x:v>
      </x:c>
      <x:c r="H9" s="34" t="str">
        <x:v>Agent/管理员通过中央身份源进入授权项目；伪造身份头和绕过代理被拒；退出、过期及账号禁用按批准时限生效。
留证：环境/版本、前置配置、输入、实际与预期、截图或脱敏接口响应、测试人及时间。</x:v>
      </x:c>
      <x:c r="I9" s="34" t="str">
        <x:v>待验证</x:v>
      </x:c>
      <x:c r="J9" s="34" t="str">
        <x:v>从泛化的统一登录改为原文明确的身份源与代理链路；仅配置 OIDC 不能直接通过。
原表状态：待验证。</x:v>
      </x:c>
      <x:c r="K9" s="34" t="str">
        <x:v>需重估：原 S0 只排 3 人日验证，已发现实现缺口；开发修复不能隐含在验证工时中。</x:v>
      </x:c>
    </x:row>
    <x:row r="10" ht="94" customHeight="1">
      <x:c r="A10" s="34" t="str">
        <x:v>FUN-021</x:v>
      </x:c>
      <x:c r="B10" s="34" t="str">
        <x:v>原文要求（功能拆分）</x:v>
      </x:c>
      <x:c r="C10" s="34" t="str">
        <x:v>TKT-004；§7.3；§9.1</x:v>
      </x:c>
      <x:c r="D10" s="34" t="str">
        <x:v>TKT-004 [MUST] 标准状态至少包括 New、Acknowledged、In Triage、Assigned、Waiting、Restored、Resolved、Closure Pending、Closed 和 Cancelled
§7.3 [设计章节（非需求编号）] Resolved：解决结果和证据完整，等待关闭确认或批准周期。 Closure Pending：等待用户确认或自动关闭窗口。 Closed：满足关闭标准，Clock 停止，记录 Closure Code。
§9.1 [设计章节（非需求编号）] Close：完成 Closure Checklist、Code、User Confirmation/Timeout 和必要 Knowledge/Problem Link。</x:v>
      </x:c>
      <x:c r="E10" s="34" t="str">
        <x:v>D:/work/helpdesk/internal/services/ticket_auto_close_service.go:51
D:/work/helpdesk/internal/services/ticket_auto_close_service.go:77
D:/work/helpdesk/internal/services/ticket_auto_close_service_test.go:17</x:v>
      </x:c>
      <x:c r="F10" s="34" t="str">
        <x:v>已定位与本项有关的实现/测试入口；测试源码不等于本次执行结果。</x:v>
      </x:c>
      <x:c r="G10" s="34" t="str">
        <x:v>已读自动关闭条件与例外；未运行调度、边界窗口和重开回归。关闭码/关闭清单还须对照原文验证。</x:v>
      </x:c>
      <x:c r="H10" s="34" t="str">
        <x:v>仅满足已批准窗口和关闭条件的工单自动关闭，保留原因与历史；未到期、未解决及例外不关闭。
留证：环境/版本、前置配置、输入、实际与预期、截图或脱敏接口响应、测试人及时间。</x:v>
      </x:c>
      <x:c r="I10" s="34" t="str">
        <x:v>待验证</x:v>
      </x:c>
      <x:c r="J10" s="34" t="str">
        <x:v>自动关闭窗口在设计章节有依据；“关闭前提醒”不是所引 TKT-004 的明示独立要求。
原表状态：待验证。</x:v>
      </x:c>
      <x:c r="K10" s="34" t="str">
        <x:v>待团队确认：人力、依赖、范围、节假日与剩余工作量。原日期/人日仅保留讨论。</x:v>
      </x:c>
    </x:row>
    <x:row r="11" ht="52" customHeight="1">
      <x:c r="A11" s="34" t="str">
        <x:v>FUN-025</x:v>
      </x:c>
      <x:c r="B11" s="34" t="str">
        <x:v>原文要求（功能拆分）</x:v>
      </x:c>
      <x:c r="C11" s="34" t="str">
        <x:v>TKT-010</x:v>
      </x:c>
      <x:c r="D11" s="34" t="str">
        <x:v>TKT-010 [MUST] Duplicate/Merge 必须保留原始 Ticket ID、审计记录、附件归属和 SLA 影响，不得删除原记录</x:v>
      </x:c>
      <x:c r="E11" s="34" t="str">
        <x:v>2026-09-08，检索 D:/work/helpdesk/internal 与企业 tickets/ticket-workbench 页面。关键词：merge.*ticket、ticket.*merge、duplicate.*ticket、ticket.*duplicate、merged_into。</x:v>
      </x:c>
      <x:c r="F11" s="34" t="str">
        <x:v>匹配到知识候选去重、请求幂等等代码，未定位两张工单合并业务入口。</x:v>
      </x:c>
      <x:c r="G11" s="34" t="str">
        <x:v>不是运行失败结论，也不能排除仓库外或其他命名实现。原表 3 人日仅适合初查，不足以承诺新增实现。</x:v>
      </x:c>
      <x:c r="H11" s="34" t="str">
        <x:v>合并前后原 Ticket ID 和记录可查；附件归属、沟通、合并审计及 SLA 影响可追溯，不删除原记录。
留证：环境/版本、前置配置、输入、实际与预期、截图或脱敏接口响应、测试人及时间。</x:v>
      </x:c>
      <x:c r="I11" s="34" t="str">
        <x:v>待验证</x:v>
      </x:c>
      <x:c r="J11" s="34" t="str">
        <x:v>不能继续按已有实现仅待验证计 3 人日；静态检索未发现不等于运行验收失败。
原表状态：待验证。</x:v>
      </x:c>
      <x:c r="K11" s="34" t="str">
        <x:v>需重估：原 S0 只排 3 人日验证，已发现实现缺口；开发修复不能隐含在验证工时中。</x:v>
      </x:c>
    </x:row>
    <x:row r="12" ht="52" customHeight="1">
      <x:c r="A12" s="34" t="str">
        <x:v>FUN-028</x:v>
      </x:c>
      <x:c r="B12" s="34" t="str">
        <x:v>系统适配（产品支持组织）</x:v>
      </x:c>
      <x:c r="C12" s="34" t="str">
        <x:v>REG-001</x:v>
      </x:c>
      <x:c r="D12" s="34" t="str">
        <x:v>REG-001 [MUST] 每个 Active Service/Component 必须配置 Support Group、Owner、Coverage Calendar、Escalation Route 和 Active Period</x:v>
      </x:c>
      <x:c r="E12" s="34" t="str">
        <x:v>D:/work/helpdesk/internal/services/product_support_organization_service.go:120
D:/work/helpdesk/internal/services/ticket_dispatch_service_test.go:2521</x:v>
      </x:c>
      <x:c r="F12" s="34" t="str">
        <x:v>已定位与本项有关的实现/测试入口；测试源码不等于本次执行结果。</x:v>
      </x:c>
      <x:c r="G12" s="34" t="str">
        <x:v>定位到按产品建组和派单范围测试；不能覆盖服务日历、有效期和升级路径。</x:v>
      </x:c>
      <x:c r="H12" s="34" t="str">
        <x:v>产品可配置支持组并按该组派单
留证：环境/版本、前置配置、输入、实际与预期、截图或脱敏接口响应、测试人及时间。</x:v>
      </x:c>
      <x:c r="I12" s="34" t="str">
        <x:v>待验证</x:v>
      </x:c>
      <x:c r="J12" s="34" t="str">
        <x:v>产品组和工程师配置是 REG-001 的部分适配；活动服务/组件、日历、升级路线、有效期在 FUN-029 等项继续验收。
原表状态：待验证。</x:v>
      </x:c>
      <x:c r="K12" s="34" t="str">
        <x:v>待团队确认：人力、依赖、范围、节假日与剩余工作量。原日期/人日仅保留讨论。</x:v>
      </x:c>
    </x:row>
    <x:row r="13" ht="66" customHeight="1">
      <x:c r="A13" s="34" t="str">
        <x:v>FUN-054</x:v>
      </x:c>
      <x:c r="B13" s="34" t="str">
        <x:v>原文要求（功能拆分）</x:v>
      </x:c>
      <x:c r="C13" s="34" t="str">
        <x:v>DCH-004</x:v>
      </x:c>
      <x:c r="D13" s="34" t="str">
        <x:v>DCH-004 [MUST] Bot Content、Intent、Flow、Fallback Threshold、Sensitive Intent 和 Escalation Policy 必须版本化、审批并可回滚；低置信度、连续失败、用户要求人工或命中敏感意图时强制转人工</x:v>
      </x:c>
      <x:c r="E13" s="34" t="str">
        <x:v>D:/work/helpdesk/internal/services/ai_agent_release_service.go:96
D:/work/helpdesk/internal/services/ai_agent_release_service.go:279
D:/work/helpdesk/internal/services/ai_agent_release_service.go:319
D:/work/helpdesk/internal/services/ai_agent_release_service_test.go:20</x:v>
      </x:c>
      <x:c r="F13" s="34" t="str">
        <x:v>已核查 Agent 发布候选、审核、部署与回滚及运行快照；未证明全部敏感意图和升级策略都随版本冻结。</x:v>
      </x:c>
      <x:c r="G13" s="34" t="str">
        <x:v>未逐一核验全部六类配置的冻结和运行回滚效果；工作流版本回滚不自动等于 Agent 运行版本回滚。</x:v>
      </x:c>
      <x:c r="H13" s="34" t="str">
        <x:v>六类配置未批准不可上线；发布后修改草稿不影响运行版本；回滚实际运行行为恢复，强制转人工条件仍满足。
留证：环境/版本、前置配置、输入、实际与预期、截图或脱敏接口响应、测试人及时间。</x:v>
      </x:c>
      <x:c r="I13" s="34" t="str">
        <x:v>待验证</x:v>
      </x:c>
      <x:c r="J13" s="34" t="str">
        <x:v>审批/回滚接口存在不等于 DCH-004 全部配置治理闭环完成。
原表状态：待验证。</x:v>
      </x:c>
      <x:c r="K13" s="34" t="str">
        <x:v>需重估：原 S0 只排 3 人日验证，已发现实现缺口；开发修复不能隐含在验证工时中。</x:v>
      </x:c>
    </x:row>
    <x:row r="14" ht="46" customHeight="1">
      <x:c r="A14" s="34" t="str">
        <x:v>FUN-003</x:v>
      </x:c>
      <x:c r="B14" s="34" t="str">
        <x:v>原文要求（功能拆分）</x:v>
      </x:c>
      <x:c r="C14" s="34" t="str">
        <x:v>IAM-003</x:v>
      </x:c>
      <x:c r="D14" s="34" t="str">
        <x:v>IAM-003 [MUST] 采用 Project-scoped RBAC，至少区分 L1、Lead/QA、L2、L3、Project Admin、SRE、Auditor 和 Service Account</x:v>
      </x:c>
      <x:c r="E14" s="34" t="str">
        <x:v>原表“当前系统已经有的”记录：已有企业隔离、角色权限；演示已验证客户不能访问企业接口
本次未取得此项新的代码/运行验收证据。</x:v>
      </x:c>
      <x:c r="F14" s="34" t="str">
        <x:v>仅保留历史判断供复核，不作为当前实现已通过的证明。</x:v>
      </x:c>
      <x:c r="G14" s="34" t="str">
        <x:v>未执行运行场景，未审计全部实现；状态沿用原表工作判断。原文映射仅表示相关，不代表覆盖整条需求。</x:v>
      </x:c>
      <x:c r="H14" s="34" t="str">
        <x:v>各角色只能查看和操作授权功能
留证：环境/版本、前置配置、输入、实际与预期、截图或脱敏接口响应、测试人及时间。</x:v>
      </x:c>
      <x:c r="I14" s="34" t="str">
        <x:v>部分完成</x:v>
      </x:c>
      <x:c r="J14" s="34" t="str">
        <x:v>保留原功能拆分，补真实原文摘录、来源级别及证据范围；本次不新增验收通过结论。
原表状态：部分完成。</x:v>
      </x:c>
      <x:c r="K14" s="34" t="str">
        <x:v>待团队确认：人力、依赖、范围、节假日与剩余工作量。原日期/人日仅保留讨论。</x:v>
      </x:c>
    </x:row>
    <x:row r="15" ht="46" customHeight="1">
      <x:c r="A15" s="34" t="str">
        <x:v>FUN-005</x:v>
      </x:c>
      <x:c r="B15" s="34" t="str">
        <x:v>原文要求（功能拆分）</x:v>
      </x:c>
      <x:c r="C15" s="34" t="str">
        <x:v>IAM-002</x:v>
      </x:c>
      <x:c r="D15" s="34" t="str">
        <x:v>IAM-002 [MUST] 所有用户必须启用 MFA；管理员优先强制 WebAuthn，Agent 可使用 TOTP</x:v>
      </x:c>
      <x:c r="E15" s="34" t="str">
        <x:v>原表“当前系统已经有的”记录：未找到完整强制MFA业务流程
本次未取得此项新的代码/运行验收证据。</x:v>
      </x:c>
      <x:c r="F15" s="34" t="str">
        <x:v>仅保留历史判断供复核，不作为当前实现已通过的证明。</x:v>
      </x:c>
      <x:c r="G15" s="34" t="str">
        <x:v>未执行运行场景，未审计全部实现；状态沿用原表工作判断。原文映射仅表示相关，不代表覆盖整条需求。</x:v>
      </x:c>
      <x:c r="H15" s="34" t="str">
        <x:v>所有用户不能仅凭密码完成登录；按角色验证 WebAuthn/TOTP、强制策略和批准的恢复流程。
留证：环境/版本、前置配置、输入、实际与预期、截图或脱敏接口响应、测试人及时间。</x:v>
      </x:c>
      <x:c r="I15" s="34" t="str">
        <x:v>待完成</x:v>
      </x:c>
      <x:c r="J15" s="34" t="str">
        <x:v>恢复和绑定流程是实施细化，原文明示重点是所有用户 MFA 及因素策略。
原表状态：待完成。</x:v>
      </x:c>
      <x:c r="K15" s="34" t="str">
        <x:v>待团队确认：人力、依赖、范围、节假日与剩余工作量。原日期/人日仅保留讨论。</x:v>
      </x:c>
    </x:row>
    <x:row r="16" ht="122" customHeight="1">
      <x:c r="A16" s="34" t="str">
        <x:v>FUN-013</x:v>
      </x:c>
      <x:c r="B16" s="34" t="str">
        <x:v>原文要求（功能拆分）</x:v>
      </x:c>
      <x:c r="C16" s="34" t="str">
        <x:v>TKT-001；EVT-002；§8.6</x:v>
      </x:c>
      <x:c r="D16" s="34" t="str">
        <x:v>TKT-001 [MUST] V1 必须支持 Email、Manual Phone、Monitoring Alert、REST API/Webhook、WhatsApp Conversation 和 Chatbot Handoff 六类来源，并保留原始 Channel 和 Source Record ID；未启用渠道不得暴露公网入口
EVT-002 [MUST] 所有写入接口必须实现 Idempotency；同 Key 同 Payload 返回原结果，同 Key 不同 Payload 返回 Conflict
§8.6 [设计章节（非需求编号）] Contract-first，OpenAPI 3.1 作为实现与测试基线。 URL 使用 /v1 Major Version；Breaking Change 发布新 Major。 所有非健康接口使用 OIDC/OAuth2、Service Account Scope 和 Project Context。 写接口要求 Idempotency-Key。 Error 使用 RFC 9457-style application/problem+json。 每个请求生成 Trace ID；敏感 Payload 不进入普通 Log。 Webhook 支持 HMAC Signature 或 OAuth、Timestamp Window、Replay Protection、Retry 和 Dead Letter。 初始接口基线见 engineering/openapi.yaml。</x:v>
      </x:c>
      <x:c r="E16" s="34" t="str">
        <x:v>原表“当前系统已经有的”记录：有连接器、Webhook和任务处理基础
本次未取得此项新的代码/运行验收证据。</x:v>
      </x:c>
      <x:c r="F16" s="34" t="str">
        <x:v>仅保留历史判断供复核，不作为当前实现已通过的证明。</x:v>
      </x:c>
      <x:c r="G16" s="34" t="str">
        <x:v>未执行运行场景，未审计全部实现；状态沿用原表工作判断。原文映射仅表示相关，不代表覆盖整条需求。</x:v>
      </x:c>
      <x:c r="H16" s="34" t="str">
        <x:v>授权来源可建单；重复相同请求不重建，同键不同载荷报冲突；伪造、过期、跨项目请求被拒且失败可追查。
留证：环境/版本、前置配置、输入、实际与预期、截图或脱敏接口响应、测试人及时间。</x:v>
      </x:c>
      <x:c r="I16" s="34" t="str">
        <x:v>部分完成</x:v>
      </x:c>
      <x:c r="J16" s="34" t="str">
        <x:v>补充接口原则和 EVT-002，避免仅以不重复建单代替安全与幂等完整验收。
原表状态：部分完成。</x:v>
      </x:c>
      <x:c r="K16" s="34" t="str">
        <x:v>待团队确认：人力、依赖、范围、节假日与剩余工作量。原日期/人日仅保留讨论。</x:v>
      </x:c>
    </x:row>
    <x:row r="17" ht="46" customHeight="1">
      <x:c r="A17" s="34" t="str">
        <x:v>FUN-014</x:v>
      </x:c>
      <x:c r="B17" s="34" t="str">
        <x:v>原文要求（功能拆分）</x:v>
      </x:c>
      <x:c r="C17" s="34" t="str">
        <x:v>TKT-002</x:v>
      </x:c>
      <x:c r="D17" s="34" t="str">
        <x:v>TKT-002 [MUST] 根据 Channel、Ticket Type 和 Project Policy 校验必填上下文；未满足时明确标记 Context Incomplete，不得伪造数据</x:v>
      </x:c>
      <x:c r="E17" s="34" t="str">
        <x:v>原表“当前系统已经有的”记录：AI流程有设备与产品上下文校验
本次未取得此项新的代码/运行验收证据。</x:v>
      </x:c>
      <x:c r="F17" s="34" t="str">
        <x:v>仅保留历史判断供复核，不作为当前实现已通过的证明。</x:v>
      </x:c>
      <x:c r="G17" s="34" t="str">
        <x:v>未执行运行场景，未审计全部实现；状态沿用原表工作判断。原文映射仅表示相关，不代表覆盖整条需求。</x:v>
      </x:c>
      <x:c r="H17" s="34" t="str">
        <x:v>按渠道、类型、项目策略验证必填上下文；不足时标记 Context Incomplete，禁止填充伪造内容。
留证：环境/版本、前置配置、输入、实际与预期、截图或脱敏接口响应、测试人及时间。</x:v>
      </x:c>
      <x:c r="I17" s="34" t="str">
        <x:v>部分完成</x:v>
      </x:c>
      <x:c r="J17" s="34" t="str">
        <x:v>保留原文 Context Incomplete 状态与不得伪造数据约束。
原表状态：部分完成。</x:v>
      </x:c>
      <x:c r="K17" s="34" t="str">
        <x:v>待团队确认：人力、依赖、范围、节假日与剩余工作量。原日期/人日仅保留讨论。</x:v>
      </x:c>
    </x:row>
    <x:row r="18" ht="46" customHeight="1">
      <x:c r="A18" s="34" t="str">
        <x:v>FUN-038</x:v>
      </x:c>
      <x:c r="B18" s="34" t="str">
        <x:v>原文要求（功能拆分）</x:v>
      </x:c>
      <x:c r="C18" s="34" t="str">
        <x:v>SLA-002</x:v>
      </x:c>
      <x:c r="D18" s="34" t="str">
        <x:v>SLA-002 [MUST] 支持 Standard、Enhanced、Mission Critical Profile；Target 值按项目配置，不在产品代码中硬编码</x:v>
      </x:c>
      <x:c r="E18" s="34" t="str">
        <x:v>原表“当前系统已经有的”记录：已有可配置SLA策略
本次未取得此项新的代码/运行验收证据。</x:v>
      </x:c>
      <x:c r="F18" s="34" t="str">
        <x:v>仅保留历史判断供复核，不作为当前实现已通过的证明。</x:v>
      </x:c>
      <x:c r="G18" s="34" t="str">
        <x:v>未执行运行场景，未审计全部实现；状态沿用原表工作判断。原文映射仅表示相关，不代表覆盖整条需求。</x:v>
      </x:c>
      <x:c r="H18" s="34" t="str">
        <x:v>企业选择不同服务目标后按约定执行
留证：环境/版本、前置配置、输入、实际与预期、截图或脱敏接口响应、测试人及时间。</x:v>
      </x:c>
      <x:c r="I18" s="34" t="str">
        <x:v>部分完成</x:v>
      </x:c>
      <x:c r="J18" s="34" t="str">
        <x:v>保留原功能拆分，补真实原文摘录、来源级别及证据范围；本次不新增验收通过结论。
原表状态：部分完成。</x:v>
      </x:c>
      <x:c r="K18" s="34" t="str">
        <x:v>待团队确认：人力、依赖、范围、节假日与剩余工作量。原日期/人日仅保留讨论。</x:v>
      </x:c>
    </x:row>
    <x:row r="19" ht="46" customHeight="1">
      <x:c r="A19" s="34" t="str">
        <x:v>FUN-006</x:v>
      </x:c>
      <x:c r="B19" s="34" t="str">
        <x:v>原文要求（功能拆分）</x:v>
      </x:c>
      <x:c r="C19" s="34" t="str">
        <x:v>IAM-004；IAM-007</x:v>
      </x:c>
      <x:c r="D19" s="34" t="str">
        <x:v>IAM-004 [MUST] 入职、调岗和离职必须可追溯；禁用 Keycloak 账号后，相关会话和项目访问应在批准时限内失效
IAM-007 [SHOULD] 角色映射和 Project Membership 应由声明式配置生成，并定期与实际授权对账</x:v>
      </x:c>
      <x:c r="E19" s="34" t="str">
        <x:v>原表“当前系统已经有的”记录：已有成员、角色和账号状态管理
本次未取得此项新的代码/运行验收证据。</x:v>
      </x:c>
      <x:c r="F19" s="34" t="str">
        <x:v>仅保留历史判断供复核，不作为当前实现已通过的证明。</x:v>
      </x:c>
      <x:c r="G19" s="34" t="str">
        <x:v>未执行运行场景，未审计全部实现；状态沿用原表工作判断。原文映射仅表示相关，不代表覆盖整条需求。</x:v>
      </x:c>
      <x:c r="H19" s="34" t="str">
        <x:v>离职账号及已有会话在规定时间内失效
留证：环境/版本、前置配置、输入、实际与预期、截图或脱敏接口响应、测试人及时间。</x:v>
      </x:c>
      <x:c r="I19" s="34" t="str">
        <x:v>部分完成</x:v>
      </x:c>
      <x:c r="J19" s="34" t="str">
        <x:v>保留原功能拆分，补真实原文摘录、来源级别及证据范围；本次不新增验收通过结论。
原表状态：部分完成。</x:v>
      </x:c>
      <x:c r="K19" s="34" t="str">
        <x:v>待团队确认：人力、依赖、范围、节假日与剩余工作量。原日期/人日仅保留讨论。</x:v>
      </x:c>
    </x:row>
    <x:row r="20" ht="108" customHeight="1">
      <x:c r="A20" s="34" t="str">
        <x:v>FUN-010</x:v>
      </x:c>
      <x:c r="B20" s="34" t="str">
        <x:v>原文要求（功能拆分）</x:v>
      </x:c>
      <x:c r="C20" s="34" t="str">
        <x:v>TKT-001；§8.3</x:v>
      </x:c>
      <x:c r="D20" s="34" t="str">
        <x:v>TKT-001 [MUST] V1 必须支持 Email、Manual Phone、Monitoring Alert、REST API/Webhook、WhatsApp Conversation 和 Chatbot Handoff 六类来源，并保留原始 Channel 和 Source Record ID；未启用渠道不得暴露公网入口
§8.3 [设计章节（非需求编号）] 使用 IMAP/SMTP；Microsoft 365 或 Google Workspace 可通过 GLPI oauthimap GPL Plugin 或受支持 OAuth Path 接入。 DayPop 不自建公共 Mail Server；Mailbox、Domain、Tenant 和 Email Provider 是项目通信基础设施。 入站邮件必须保留 Message-ID、In-Reply-To、References、Received Time 和 Attachment Scan Outcome。 发件失败进入 Retry Queue，超过阈值触发 Alert 和人工 Follow-up。 Auto Reply、Loop、Bounce 和 Out-of-office 必须有防循环规则。 不允许在 Email Subject 或 Notification 中暴露超出批准范围的 PII。</x:v>
      </x:c>
      <x:c r="E20" s="34" t="str">
        <x:v>原表“当前系统已经有的”记录：现有发信功能不能证明具备收件建单
本次未取得此项新的代码/运行验收证据。</x:v>
      </x:c>
      <x:c r="F20" s="34" t="str">
        <x:v>仅保留历史判断供复核，不作为当前实现已通过的证明。</x:v>
      </x:c>
      <x:c r="G20" s="34" t="str">
        <x:v>未执行运行场景，未审计全部实现；状态沿用原表工作判断。原文映射仅表示相关，不代表覆盖整条需求。</x:v>
      </x:c>
      <x:c r="H20" s="34" t="str">
        <x:v>新邮件自动建单且保留原始邮件标识
留证：环境/版本、前置配置、输入、实际与预期、截图或脱敏接口响应、测试人及时间。</x:v>
      </x:c>
      <x:c r="I20" s="34" t="str">
        <x:v>待完成</x:v>
      </x:c>
      <x:c r="J20" s="34" t="str">
        <x:v>新邮件建单映射到 TKT-001 和邮件集成章节；TKT-008 专指回复线程匹配。
原表状态：待完成。</x:v>
      </x:c>
      <x:c r="K20" s="34" t="str">
        <x:v>待团队确认：人力、依赖、范围、节假日与剩余工作量。原日期/人日仅保留讨论。</x:v>
      </x:c>
    </x:row>
    <x:row r="21" ht="94" customHeight="1">
      <x:c r="A21" s="34" t="str">
        <x:v>FUN-063</x:v>
      </x:c>
      <x:c r="B21" s="34" t="str">
        <x:v>原文要求（功能拆分）</x:v>
      </x:c>
      <x:c r="C21" s="34" t="str">
        <x:v>TKT-009；§8.3</x:v>
      </x:c>
      <x:c r="D21" s="34" t="str">
        <x:v>TKT-009 [MUST] 用户和内部通知必须使用批准模板、Locale 和敏感信息规则，并保存发送结果
§8.3 [设计章节（非需求编号）] 使用 IMAP/SMTP；Microsoft 365 或 Google Workspace 可通过 GLPI oauthimap GPL Plugin 或受支持 OAuth Path 接入。 DayPop 不自建公共 Mail Server；Mailbox、Domain、Tenant 和 Email Provider 是项目通信基础设施。 入站邮件必须保留 Message-ID、In-Reply-To、References、Received Time 和 Attachment Scan Outcome。 发件失败进入 Retry Queue，超过阈值触发 Alert 和人工 Follow-up。 Auto Reply、Loop、Bounce 和 Out-of-office 必须有防循环规则。 不允许在 Email Subject 或 Notification 中暴露超出批准范围的 PII。</x:v>
      </x:c>
      <x:c r="E21" s="34" t="str">
        <x:v>原表“当前系统已经有的”记录：已有通知与投递队列；本地SMTP未启用
本次未取得此项新的代码/运行验收证据。</x:v>
      </x:c>
      <x:c r="F21" s="34" t="str">
        <x:v>仅保留历史判断供复核，不作为当前实现已通过的证明。</x:v>
      </x:c>
      <x:c r="G21" s="34" t="str">
        <x:v>未执行运行场景，未审计全部实现；状态沿用原表工作判断。原文映射仅表示相关，不代表覆盖整条需求。</x:v>
      </x:c>
      <x:c r="H21" s="34" t="str">
        <x:v>正常收到提醒，失败可见并可重试
留证：环境/版本、前置配置、输入、实际与预期、截图或脱敏接口响应、测试人及时间。</x:v>
      </x:c>
      <x:c r="I21" s="34" t="str">
        <x:v>部分完成</x:v>
      </x:c>
      <x:c r="J21" s="34" t="str">
        <x:v>移除可能已经过期的 SMTP 状态，补发件失败重试与告警的第 8.3 节依据。
原表状态：部分完成。</x:v>
      </x:c>
      <x:c r="K21" s="34" t="str">
        <x:v>待团队确认：人力、依赖、范围、节假日与剩余工作量。原日期/人日仅保留讨论。</x:v>
      </x:c>
    </x:row>
    <x:row r="22" ht="52" customHeight="1">
      <x:c r="A22" s="34" t="str">
        <x:v>FUN-090</x:v>
      </x:c>
      <x:c r="B22" s="34" t="str">
        <x:v>原文要求（功能拆分）</x:v>
      </x:c>
      <x:c r="C22" s="34" t="str">
        <x:v>IAM-006</x:v>
      </x:c>
      <x:c r="D22" s="34" t="str">
        <x:v>IAM-006 [MUST] 外部系统使用独立 Service Account、短生命周期 Token 或受控 Client Credential，不得复用人员账号</x:v>
      </x:c>
      <x:c r="E22" s="34" t="str">
        <x:v>原表“当前系统已经有的”记录：已有ServiceAccount数据模型、权限范围、IP限制、到期时间和审计字段基础
本次未取得此项新的代码/运行验收证据。</x:v>
      </x:c>
      <x:c r="F22" s="34" t="str">
        <x:v>仅保留历史判断供复核，不作为当前实现已通过的证明。</x:v>
      </x:c>
      <x:c r="G22" s="34" t="str">
        <x:v>未执行运行场景，未审计全部实现；状态沿用原表工作判断。原文映射仅表示相关，不代表覆盖整条需求。</x:v>
      </x:c>
      <x:c r="H22" s="34" t="str">
        <x:v>外部系统使用独立凭据获得限权短期Token；人员账号凭据不能替代；停用或到期后立即拒绝访问
留证：环境/版本、前置配置、输入、实际与预期、截图或脱敏接口响应、测试人及时间。</x:v>
      </x:c>
      <x:c r="I22" s="34" t="str">
        <x:v>部分完成</x:v>
      </x:c>
      <x:c r="J22" s="34" t="str">
        <x:v>原文允许短生命周期 Token 或受控 Client Credential，不应把新建换 Token 接口写成唯一强制实现。
原表状态：部分完成。</x:v>
      </x:c>
      <x:c r="K22" s="34" t="str">
        <x:v>待团队确认：人力、依赖、范围、节假日与剩余工作量。原日期/人日仅保留讨论。</x:v>
      </x:c>
    </x:row>
    <x:row r="23" ht="94" customHeight="1">
      <x:c r="A23" s="34" t="str">
        <x:v>FUN-011</x:v>
      </x:c>
      <x:c r="B23" s="34" t="str">
        <x:v>原文要求（功能拆分）</x:v>
      </x:c>
      <x:c r="C23" s="34" t="str">
        <x:v>TKT-008；§8.3</x:v>
      </x:c>
      <x:c r="D23" s="34" t="str">
        <x:v>TKT-008 [MUST] Email Reply 必须关联正确 Thread；无法可靠匹配时创建待人工关联记录，不得静默附加到错误工单
§8.3 [设计章节（非需求编号）] 使用 IMAP/SMTP；Microsoft 365 或 Google Workspace 可通过 GLPI oauthimap GPL Plugin 或受支持 OAuth Path 接入。 DayPop 不自建公共 Mail Server；Mailbox、Domain、Tenant 和 Email Provider 是项目通信基础设施。 入站邮件必须保留 Message-ID、In-Reply-To、References、Received Time 和 Attachment Scan Outcome。 发件失败进入 Retry Queue，超过阈值触发 Alert 和人工 Follow-up。 Auto Reply、Loop、Bounce 和 Out-of-office 必须有防循环规则。 不允许在 Email Subject 或 Notification 中暴露超出批准范围的 PII。</x:v>
      </x:c>
      <x:c r="E23" s="34" t="str">
        <x:v>原表“当前系统已经有的”记录：未找到完整邮件线程关联业务
本次未取得此项新的代码/运行验收证据。</x:v>
      </x:c>
      <x:c r="F23" s="34" t="str">
        <x:v>仅保留历史判断供复核，不作为当前实现已通过的证明。</x:v>
      </x:c>
      <x:c r="G23" s="34" t="str">
        <x:v>未执行运行场景，未审计全部实现；状态沿用原表工作判断。原文映射仅表示相关，不代表覆盖整条需求。</x:v>
      </x:c>
      <x:c r="H23" s="34" t="str">
        <x:v>回复更新正确工单，无法匹配时不误关联
留证：环境/版本、前置配置、输入、实际与预期、截图或脱敏接口响应、测试人及时间。</x:v>
      </x:c>
      <x:c r="I23" s="34" t="str">
        <x:v>待完成</x:v>
      </x:c>
      <x:c r="J23" s="34" t="str">
        <x:v>补充 Message-ID、In-Reply-To、References 等原文字段依据。
原表状态：待完成。</x:v>
      </x:c>
      <x:c r="K23" s="34" t="str">
        <x:v>待团队确认：人力、依赖、范围、节假日与剩余工作量。原日期/人日仅保留讨论。</x:v>
      </x:c>
    </x:row>
    <x:row r="24" ht="94" customHeight="1">
      <x:c r="A24" s="34" t="str">
        <x:v>FUN-022</x:v>
      </x:c>
      <x:c r="B24" s="34" t="str">
        <x:v>原文要求（功能拆分）</x:v>
      </x:c>
      <x:c r="C24" s="34" t="str">
        <x:v>TKT-003；TKT-004；§7.3</x:v>
      </x:c>
      <x:c r="D24" s="34" t="str">
        <x:v>TKT-003 [MUST] 支持 User Case、Incident、Major Incident、Problem、Known Error 和 Service Request，并允许建立父子、关联、重复和因果关系
TKT-004 [MUST] 标准状态至少包括 New、Acknowledged、In Triage、Assigned、Waiting、Restored、Resolved、Closure Pending、Closed 和 Cancelled
§7.3 [设计章节（非需求编号）] Reopen 必须创建 ticket.reopened Event，并重新启动适用 Clock；不得改写历史 Resolve/Close 时间。</x:v>
      </x:c>
      <x:c r="E24" s="34" t="str">
        <x:v>原表“当前系统已经有的”记录：现有以设备售后工单及处理状态为主
本次未取得此项新的代码/运行验收证据。</x:v>
      </x:c>
      <x:c r="F24" s="34" t="str">
        <x:v>仅保留历史判断供复核，不作为当前实现已通过的证明。</x:v>
      </x:c>
      <x:c r="G24" s="34" t="str">
        <x:v>未执行运行场景，未审计全部实现；状态沿用原表工作判断。原文映射仅表示相关，不代表覆盖整条需求。</x:v>
      </x:c>
      <x:c r="H24" s="34" t="str">
        <x:v>六类对象、父子/关联/重复/因果关系及十类标准状态均有映射；Restored 与 Resolved 可区分，非法迁移被拒。
留证：环境/版本、前置配置、输入、实际与预期、截图或脱敏接口响应、测试人及时间。</x:v>
      </x:c>
      <x:c r="I24" s="34" t="str">
        <x:v>部分完成</x:v>
      </x:c>
      <x:c r="J24" s="34" t="str">
        <x:v>补回对象关系与完整状态约束，避免只验证六类名称。
原表状态：部分完成。</x:v>
      </x:c>
      <x:c r="K24" s="34" t="str">
        <x:v>待团队确认：人力、依赖、范围、节假日与剩余工作量。原日期/人日仅保留讨论。</x:v>
      </x:c>
    </x:row>
    <x:row r="25" ht="80" customHeight="1">
      <x:c r="A25" s="34" t="str">
        <x:v>FUN-012</x:v>
      </x:c>
      <x:c r="B25" s="34" t="str">
        <x:v>原文要求（功能拆分）</x:v>
      </x:c>
      <x:c r="C25" s="34" t="str">
        <x:v>§8.3</x:v>
      </x:c>
      <x:c r="D25" s="34" t="str">
        <x:v>§8.3 [设计章节（非需求编号）] 使用 IMAP/SMTP；Microsoft 365 或 Google Workspace 可通过 GLPI oauthimap GPL Plugin 或受支持 OAuth Path 接入。 DayPop 不自建公共 Mail Server；Mailbox、Domain、Tenant 和 Email Provider 是项目通信基础设施。 入站邮件必须保留 Message-ID、In-Reply-To、References、Received Time 和 Attachment Scan Outcome。 发件失败进入 Retry Queue，超过阈值触发 Alert 和人工 Follow-up。 Auto Reply、Loop、Bounce 和 Out-of-office 必须有防循环规则。 不允许在 Email Subject 或 Notification 中暴露超出批准范围的 PII。</x:v>
      </x:c>
      <x:c r="E25" s="34" t="str">
        <x:v>原表“当前系统已经有的”记录：未找到完整收信防循环流程
本次未取得此项新的代码/运行验收证据。</x:v>
      </x:c>
      <x:c r="F25" s="34" t="str">
        <x:v>仅保留历史判断供复核，不作为当前实现已通过的证明。</x:v>
      </x:c>
      <x:c r="G25" s="34" t="str">
        <x:v>未执行运行场景，未审计全部实现；状态沿用原表工作判断。原文映射仅表示相关，不代表覆盖整条需求。</x:v>
      </x:c>
      <x:c r="H25" s="34" t="str">
        <x:v>退信/自动回复不会无限创建工单
留证：环境/版本、前置配置、输入、实际与预期、截图或脱敏接口响应、测试人及时间。</x:v>
      </x:c>
      <x:c r="I25" s="34" t="str">
        <x:v>待完成</x:v>
      </x:c>
      <x:c r="J25" s="34" t="str">
        <x:v>DES-002 不是原文编号，改为第 8.3 节 Auto Reply、Loop、Bounce、Out-of-office 防循环要求。
原表状态：待完成。</x:v>
      </x:c>
      <x:c r="K25" s="34" t="str">
        <x:v>待团队确认：人力、依赖、范围、节假日与剩余工作量。原日期/人日仅保留讨论。</x:v>
      </x:c>
    </x:row>
    <x:row r="26" ht="46" customHeight="1">
      <x:c r="A26" s="34" t="str">
        <x:v>FUN-023</x:v>
      </x:c>
      <x:c r="B26" s="34" t="str">
        <x:v>原文要求（功能拆分）</x:v>
      </x:c>
      <x:c r="C26" s="34" t="str">
        <x:v>TKT-005</x:v>
      </x:c>
      <x:c r="D26" s="34" t="str">
        <x:v>TKT-005 [MUST] Priority 使用 P1-P4 固定语义，并由 Impact、Urgency、Safety、Transaction/Service Reach 和 Workaround 等规则计算或复核</x:v>
      </x:c>
      <x:c r="E26" s="34" t="str">
        <x:v>原表“当前系统已经有的”记录：已有优先级和紧急队列
本次未取得此项新的代码/运行验收证据。</x:v>
      </x:c>
      <x:c r="F26" s="34" t="str">
        <x:v>仅保留历史判断供复核，不作为当前实现已通过的证明。</x:v>
      </x:c>
      <x:c r="G26" s="34" t="str">
        <x:v>未执行运行场景，未审计全部实现；状态沿用原表工作判断。原文映射仅表示相关，不代表覆盖整条需求。</x:v>
      </x:c>
      <x:c r="H26" s="34" t="str">
        <x:v>按业务规则得出优先级并可审计复核
留证：环境/版本、前置配置、输入、实际与预期、截图或脱敏接口响应、测试人及时间。</x:v>
      </x:c>
      <x:c r="I26" s="34" t="str">
        <x:v>部分完成</x:v>
      </x:c>
      <x:c r="J26" s="34" t="str">
        <x:v>保留原功能拆分，补真实原文摘录、来源级别及证据范围；本次不新增验收通过结论。
原表状态：部分完成。</x:v>
      </x:c>
      <x:c r="K26" s="34" t="str">
        <x:v>待团队确认：人力、依赖、范围、节假日与剩余工作量。原日期/人日仅保留讨论。</x:v>
      </x:c>
    </x:row>
    <x:row r="27" ht="46" customHeight="1">
      <x:c r="A27" s="34" t="str">
        <x:v>FUN-024</x:v>
      </x:c>
      <x:c r="B27" s="34" t="str">
        <x:v>原文要求（功能拆分）</x:v>
      </x:c>
      <x:c r="C27" s="34" t="str">
        <x:v>TKT-006</x:v>
      </x:c>
      <x:c r="D27" s="34" t="str">
        <x:v>TKT-006 [MUST] DayPop 在接受后始终保留 Case Administration Owner；技术责任组可以变化，但不得产生无 Owner 工单</x:v>
      </x:c>
      <x:c r="E27" s="34" t="str">
        <x:v>原表“当前系统已经有的”记录：已有技术负责人及待派单状态
本次未取得此项新的代码/运行验收证据。</x:v>
      </x:c>
      <x:c r="F27" s="34" t="str">
        <x:v>仅保留历史判断供复核，不作为当前实现已通过的证明。</x:v>
      </x:c>
      <x:c r="G27" s="34" t="str">
        <x:v>未执行运行场景，未审计全部实现；状态沿用原表工作判断。原文映射仅表示相关，不代表覆盖整条需求。</x:v>
      </x:c>
      <x:c r="H27" s="34" t="str">
        <x:v>无技术接单人时仍有人负责跟进
留证：环境/版本、前置配置、输入、实际与预期、截图或脱敏接口响应、测试人及时间。</x:v>
      </x:c>
      <x:c r="I27" s="34" t="str">
        <x:v>部分完成</x:v>
      </x:c>
      <x:c r="J27" s="34" t="str">
        <x:v>保留原功能拆分，补真实原文摘录、来源级别及证据范围；本次不新增验收通过结论。
原表状态：部分完成。</x:v>
      </x:c>
      <x:c r="K27" s="34" t="str">
        <x:v>待团队确认：人力、依赖、范围、节假日与剩余工作量。原日期/人日仅保留讨论。</x:v>
      </x:c>
    </x:row>
    <x:row r="28" ht="46" customHeight="1">
      <x:c r="A28" s="34" t="str">
        <x:v>FUN-007</x:v>
      </x:c>
      <x:c r="B28" s="34" t="str">
        <x:v>原文要求（功能拆分）</x:v>
      </x:c>
      <x:c r="C28" s="34" t="str">
        <x:v>IAM-005</x:v>
      </x:c>
      <x:c r="D28" s="34" t="str">
        <x:v>IAM-005 [MUST] Break-glass 账号必须使用独立凭据、离线保管、强 MFA、最小权限、每次使用审批和事后审计</x:v>
      </x:c>
      <x:c r="E28" s="34" t="str">
        <x:v>原表“当前系统已经有的”记录：未找到完整应急登录审批及事后复核流程
本次未取得此项新的代码/运行验收证据。</x:v>
      </x:c>
      <x:c r="F28" s="34" t="str">
        <x:v>仅保留历史判断供复核，不作为当前实现已通过的证明。</x:v>
      </x:c>
      <x:c r="G28" s="34" t="str">
        <x:v>未执行运行场景，未审计全部实现；状态沿用原表工作判断。原文映射仅表示相关，不代表覆盖整条需求。</x:v>
      </x:c>
      <x:c r="H28" s="34" t="str">
        <x:v>逐项查验独立凭据与保管责任、MFA、审批、限权和事后复核记录。
留证：环境/版本、前置配置、输入、实际与预期、截图或脱敏接口响应、测试人及时间。</x:v>
      </x:c>
      <x:c r="I28" s="34" t="str">
        <x:v>待完成</x:v>
      </x:c>
      <x:c r="J28" s="34" t="str">
        <x:v>原验收只检查批准人与复核，补回 IAM-005 的凭据、保管与 MFA 约束。
原表状态：待完成。</x:v>
      </x:c>
      <x:c r="K28" s="34" t="str">
        <x:v>待团队确认：人力、依赖、范围、节假日与剩余工作量。原日期/人日仅保留讨论。</x:v>
      </x:c>
    </x:row>
    <x:row r="29" ht="46" customHeight="1">
      <x:c r="A29" s="34" t="str">
        <x:v>FUN-085</x:v>
      </x:c>
      <x:c r="B29" s="34" t="str">
        <x:v>原文要求（功能拆分）</x:v>
      </x:c>
      <x:c r="C29" s="34" t="str">
        <x:v>SEC-004</x:v>
      </x:c>
      <x:c r="D29" s="34" t="str">
        <x:v>SEC-004 [MUST] 登录、授权变更、Break-glass、配置、Registry、Clock、Bot Content/Flow、Human Handoff、Export、Delete、Report 和 Admin Action 必须审计</x:v>
      </x:c>
      <x:c r="E29" s="34" t="str">
        <x:v>原表“当前系统已经有的”记录：已有登录、权限、工单及业务审计
本次未取得此项新的代码/运行验收证据。</x:v>
      </x:c>
      <x:c r="F29" s="34" t="str">
        <x:v>仅保留历史判断供复核，不作为当前实现已通过的证明。</x:v>
      </x:c>
      <x:c r="G29" s="34" t="str">
        <x:v>未执行运行场景，未审计全部实现；状态沿用原表工作判断。原文映射仅表示相关，不代表覆盖整条需求。</x:v>
      </x:c>
      <x:c r="H29" s="34" t="str">
        <x:v>关键操作能定位操作人、时间、结果和批准依据
留证：环境/版本、前置配置、输入、实际与预期、截图或脱敏接口响应、测试人及时间。</x:v>
      </x:c>
      <x:c r="I29" s="34" t="str">
        <x:v>部分完成</x:v>
      </x:c>
      <x:c r="J29" s="34" t="str">
        <x:v>保留原功能拆分，补真实原文摘录、来源级别及证据范围；本次不新增验收通过结论。
原表状态：部分完成。</x:v>
      </x:c>
      <x:c r="K29" s="34" t="str">
        <x:v>待团队确认：人力、依赖、范围、节假日与剩余工作量。原日期/人日仅保留讨论。</x:v>
      </x:c>
    </x:row>
    <x:row r="30" ht="52" customHeight="1">
      <x:c r="A30" s="34" t="str">
        <x:v>FUN-026</x:v>
      </x:c>
      <x:c r="B30" s="34" t="str">
        <x:v>原文要求（功能拆分）</x:v>
      </x:c>
      <x:c r="C30" s="34" t="str">
        <x:v>TKT-011；TKT-003</x:v>
      </x:c>
      <x:c r="D30" s="34" t="str">
        <x:v>TKT-011 [SHOULD] 支持批量关联重复用户反馈到一个 Incident 或 Known Error，并保留每个用户 Case 的沟通历史
TKT-003 [MUST] 支持 User Case、Incident、Major Incident、Problem、Known Error 和 Service Request，并允许建立父子、关联、重复和因果关系</x:v>
      </x:c>
      <x:c r="E30" s="34" t="str">
        <x:v>原表“当前系统已经有的”记录：未找到完整Case与Incident批量关联功能
本次未取得此项新的代码/运行验收证据。</x:v>
      </x:c>
      <x:c r="F30" s="34" t="str">
        <x:v>仅保留历史判断供复核，不作为当前实现已通过的证明。</x:v>
      </x:c>
      <x:c r="G30" s="34" t="str">
        <x:v>未执行运行场景，未审计全部实现；状态沿用原表工作判断。原文映射仅表示相关，不代表覆盖整条需求。</x:v>
      </x:c>
      <x:c r="H30" s="34" t="str">
        <x:v>多个用户Case跟踪同一故障且各自可更新
留证：环境/版本、前置配置、输入、实际与预期、截图或脱敏接口响应、测试人及时间。</x:v>
      </x:c>
      <x:c r="I30" s="34" t="str">
        <x:v>待完成</x:v>
      </x:c>
      <x:c r="J30" s="34" t="str">
        <x:v>保留原功能拆分，补真实原文摘录、来源级别及证据范围；本次不新增验收通过结论。
原表状态：待完成。</x:v>
      </x:c>
      <x:c r="K30" s="34" t="str">
        <x:v>待团队确认：人力、依赖、范围、节假日与剩余工作量。原日期/人日仅保留讨论。</x:v>
      </x:c>
    </x:row>
    <x:row r="31" ht="52" customHeight="1">
      <x:c r="A31" s="34" t="str">
        <x:v>FUN-039</x:v>
      </x:c>
      <x:c r="B31" s="34" t="str">
        <x:v>原文要求（功能拆分）</x:v>
      </x:c>
      <x:c r="C31" s="34" t="str">
        <x:v>SLA-003</x:v>
      </x:c>
      <x:c r="D31" s="34" t="str">
        <x:v>SLA-003 [MUST] 支持 24x7、Business Hours、Holiday、Timezone 和 DST，时间统一存 UTC</x:v>
      </x:c>
      <x:c r="E31" s="34" t="str">
        <x:v>D:/work/helpdesk/internal/services/sla_service.go:379
D:/work/helpdesk/internal/services/sla_service.go:832
D:/work/helpdesk/internal/services/sla_service.go:913</x:v>
      </x:c>
      <x:c r="F31" s="34" t="str">
        <x:v>已核查服务日历计算函数；当前预警/违约扫描按 CreatedAt 加分钟和暂停时长计算。</x:v>
      </x:c>
      <x:c r="G31" s="34" t="str">
        <x:v>日历函数与实际扫描分离；尚未执行跨日、节假日、DST 边界。</x:v>
      </x:c>
      <x:c r="H31" s="34" t="str">
        <x:v>非服务时间按规则处理，跨时区结果一致
留证：环境/版本、前置配置、输入、实际与预期、截图或脱敏接口响应、测试人及时间。</x:v>
      </x:c>
      <x:c r="I31" s="34" t="str">
        <x:v>部分完成</x:v>
      </x:c>
      <x:c r="J31" s="34" t="str">
        <x:v>有日历函数不等于实际计时链路已使用，必须验真实扫描结果。
原表状态：部分完成。</x:v>
      </x:c>
      <x:c r="K31" s="34" t="str">
        <x:v>待团队确认：人力、依赖、范围、节假日与剩余工作量。原日期/人日仅保留讨论。</x:v>
      </x:c>
    </x:row>
    <x:row r="32" ht="94" customHeight="1">
      <x:c r="A32" s="34" t="str">
        <x:v>FUN-027</x:v>
      </x:c>
      <x:c r="B32" s="34" t="str">
        <x:v>原文要求（功能拆分）</x:v>
      </x:c>
      <x:c r="C32" s="34" t="str">
        <x:v>TKT-003；§9.3</x:v>
      </x:c>
      <x:c r="D32" s="34" t="str">
        <x:v>TKT-003 [MUST] 支持 User Case、Incident、Major Incident、Problem、Known Error 和 Service Request，并允许建立父子、关联、重复和因果关系
§9.3 [设计章节（非需求编号）] P1 或批准的 P2 可触发 Major Incident。必须记录：Declaration、Incident Commander/Coordinator、Scope、Affected Services、Timeline、Stakeholder Update、User Communication Approval、Restore、Resolve、RCA Owner、Problem/Known Error 和 Review Action。 平台不自行发布 Public Status，也不批准对外重大声明。未来 Status Page 模块可以订阅已批准的 Major Incident Communication Event。</x:v>
      </x:c>
      <x:c r="E32" s="34" t="str">
        <x:v>原表“当前系统已经有的”记录：未找到完整重大事件协调流程
本次未取得此项新的代码/运行验收证据。</x:v>
      </x:c>
      <x:c r="F32" s="34" t="str">
        <x:v>仅保留历史判断供复核，不作为当前实现已通过的证明。</x:v>
      </x:c>
      <x:c r="G32" s="34" t="str">
        <x:v>未执行运行场景，未审计全部实现；状态沿用原表工作判断。原文映射仅表示相关，不代表覆盖整条需求。</x:v>
      </x:c>
      <x:c r="H32" s="34" t="str">
        <x:v>重大事件从宣布到恢复和复盘有完整责任记录
留证：环境/版本、前置配置、输入、实际与预期、截图或脱敏接口响应、测试人及时间。</x:v>
      </x:c>
      <x:c r="I32" s="34" t="str">
        <x:v>待完成</x:v>
      </x:c>
      <x:c r="J32" s="34" t="str">
        <x:v>以第 9.3 节替换虚构编号 DES-003，包含重大故障沟通审批和复盘职责。
原表状态：待完成。</x:v>
      </x:c>
      <x:c r="K32" s="34" t="str">
        <x:v>待团队确认：人力、依赖、范围、节假日与剩余工作量。原日期/人日仅保留讨论。</x:v>
      </x:c>
    </x:row>
    <x:row r="33" ht="46" customHeight="1">
      <x:c r="A33" s="34" t="str">
        <x:v>FUN-040</x:v>
      </x:c>
      <x:c r="B33" s="34" t="str">
        <x:v>原文要求（功能拆分）</x:v>
      </x:c>
      <x:c r="C33" s="34" t="str">
        <x:v>SLA-001</x:v>
      </x:c>
      <x:c r="D33" s="34" t="str">
        <x:v>SLA-001 [MUST] 对每个工单同时计算 End-to-end Elapsed Clock 与 DayPop Accountable Clock</x:v>
      </x:c>
      <x:c r="E33" s="34" t="str">
        <x:v>原表“当前系统已经有的”记录：现有计时扣减暂停，未找到两个独立责任时钟
本次未取得此项新的代码/运行验收证据。</x:v>
      </x:c>
      <x:c r="F33" s="34" t="str">
        <x:v>仅保留历史判断供复核，不作为当前实现已通过的证明。</x:v>
      </x:c>
      <x:c r="G33" s="34" t="str">
        <x:v>未执行运行场景，未审计全部实现；状态沿用原表工作判断。原文映射仅表示相关，不代表覆盖整条需求。</x:v>
      </x:c>
      <x:c r="H33" s="34" t="str">
        <x:v>转外部专家时总时钟持续，己方时钟按约定变化
留证：环境/版本、前置配置、输入、实际与预期、截图或脱敏接口响应、测试人及时间。</x:v>
      </x:c>
      <x:c r="I33" s="34" t="str">
        <x:v>待完成</x:v>
      </x:c>
      <x:c r="J33" s="34" t="str">
        <x:v>保留原功能拆分，补真实原文摘录、来源级别及证据范围；本次不新增验收通过结论。
原表状态：待完成。</x:v>
      </x:c>
      <x:c r="K33" s="34" t="str">
        <x:v>待团队确认：人力、依赖、范围、节假日与剩余工作量。原日期/人日仅保留讨论。</x:v>
      </x:c>
    </x:row>
    <x:row r="34" ht="46" customHeight="1">
      <x:c r="A34" s="34" t="str">
        <x:v>FUN-041</x:v>
      </x:c>
      <x:c r="B34" s="34" t="str">
        <x:v>原文要求（功能拆分）</x:v>
      </x:c>
      <x:c r="C34" s="34" t="str">
        <x:v>SLA-004</x:v>
      </x:c>
      <x:c r="D34" s="34" t="str">
        <x:v>SLA-004 [MUST] 暂停原因仅允许 DayPop Active、External Expert、Customer/Authority Pending、Planned Maintenance、Approved Hold 和 Stopped 等受控状态迁移</x:v>
      </x:c>
      <x:c r="E34" s="34" t="str">
        <x:v>原表“当前系统已经有的”记录：有等待客户、等待配件、计划处理、Hold原因
本次未取得此项新的代码/运行验收证据。</x:v>
      </x:c>
      <x:c r="F34" s="34" t="str">
        <x:v>仅保留历史判断供复核，不作为当前实现已通过的证明。</x:v>
      </x:c>
      <x:c r="G34" s="34" t="str">
        <x:v>未执行运行场景，未审计全部实现；状态沿用原表工作判断。原文映射仅表示相关，不代表覆盖整条需求。</x:v>
      </x:c>
      <x:c r="H34" s="34" t="str">
        <x:v>每次暂停恢复都能说明原因和责任方
留证：环境/版本、前置配置、输入、实际与预期、截图或脱敏接口响应、测试人及时间。</x:v>
      </x:c>
      <x:c r="I34" s="34" t="str">
        <x:v>部分完成</x:v>
      </x:c>
      <x:c r="J34" s="34" t="str">
        <x:v>保留原功能拆分，补真实原文摘录、来源级别及证据范围；本次不新增验收通过结论。
原表状态：部分完成。</x:v>
      </x:c>
      <x:c r="K34" s="34" t="str">
        <x:v>待团队确认：人力、依赖、范围、节假日与剩余工作量。原日期/人日仅保留讨论。</x:v>
      </x:c>
    </x:row>
    <x:row r="35" ht="46" customHeight="1">
      <x:c r="A35" s="34" t="str">
        <x:v>FUN-042</x:v>
      </x:c>
      <x:c r="B35" s="34" t="str">
        <x:v>原文要求（功能拆分）</x:v>
      </x:c>
      <x:c r="C35" s="34" t="str">
        <x:v>SLA-006</x:v>
      </x:c>
      <x:c r="D35" s="34" t="str">
        <x:v>SLA-006 [MUST] Generic Pending 不得暂停任何可归责时钟；暂停必须保存 Reason Code、Owner、Effective Time、Evidence 和批准主体</x:v>
      </x:c>
      <x:c r="E35" s="34" t="str">
        <x:v>原表“当前系统已经有的”记录：有暂停原因校验，缺完整证据审批合同
本次未取得此项新的代码/运行验收证据。</x:v>
      </x:c>
      <x:c r="F35" s="34" t="str">
        <x:v>仅保留历史判断供复核，不作为当前实现已通过的证明。</x:v>
      </x:c>
      <x:c r="G35" s="34" t="str">
        <x:v>未执行运行场景，未审计全部实现；状态沿用原表工作判断。原文映射仅表示相关，不代表覆盖整条需求。</x:v>
      </x:c>
      <x:c r="H35" s="34" t="str">
        <x:v>缺批准证据不能暂停可归责时间
留证：环境/版本、前置配置、输入、实际与预期、截图或脱敏接口响应、测试人及时间。</x:v>
      </x:c>
      <x:c r="I35" s="34" t="str">
        <x:v>部分完成</x:v>
      </x:c>
      <x:c r="J35" s="34" t="str">
        <x:v>保留原功能拆分，补真实原文摘录、来源级别及证据范围；本次不新增验收通过结论。
原表状态：部分完成。</x:v>
      </x:c>
      <x:c r="K35" s="34" t="str">
        <x:v>待团队确认：人力、依赖、范围、节假日与剩余工作量。原日期/人日仅保留讨论。</x:v>
      </x:c>
    </x:row>
    <x:row r="36" ht="52" customHeight="1">
      <x:c r="A36" s="34" t="str">
        <x:v>FUN-043</x:v>
      </x:c>
      <x:c r="B36" s="34" t="str">
        <x:v>原文要求（功能拆分）</x:v>
      </x:c>
      <x:c r="C36" s="34" t="str">
        <x:v>SLA-005</x:v>
      </x:c>
      <x:c r="D36" s="34" t="str">
        <x:v>SLA-005 [MUST] Acknowledgement、First Response、Update Cadence、Escalation、Restore 和 Resolve 必须分别计时、预警和报告</x:v>
      </x:c>
      <x:c r="E36" s="34" t="str">
        <x:v>D:/work/helpdesk/internal/services/sla_service.go:913</x:v>
      </x:c>
      <x:c r="F36" s="34" t="str">
        <x:v>已定位与本项有关的实现/测试入口；测试源码不等于本次执行结果。</x:v>
      </x:c>
      <x:c r="G36" s="34" t="str">
        <x:v>当前扫描三类不能证明六类独立目标全部完成。</x:v>
      </x:c>
      <x:c r="H36" s="34" t="str">
        <x:v>SLA-005 六类目标逐一有开始、停止/重置、超时、预警及报告证据；不以工程师接单替代受理确认。
留证：环境/版本、前置配置、输入、实际与预期、截图或脱敏接口响应、测试人及时间。</x:v>
      </x:c>
      <x:c r="I36" s="34" t="str">
        <x:v>部分完成</x:v>
      </x:c>
      <x:c r="J36" s="34" t="str">
        <x:v>将 FUN-037 与 FUN-043 明确组成 SLA-005 的完整验收，防止拆分后重复计算或遗漏。
原表状态：部分完成。</x:v>
      </x:c>
      <x:c r="K36" s="34" t="str">
        <x:v>待团队确认：人力、依赖、范围、节假日与剩余工作量。原日期/人日仅保留讨论。</x:v>
      </x:c>
    </x:row>
    <x:row r="37" ht="46" customHeight="1">
      <x:c r="A37" s="34" t="str">
        <x:v>FUN-044</x:v>
      </x:c>
      <x:c r="B37" s="34" t="str">
        <x:v>原文要求（功能拆分）</x:v>
      </x:c>
      <x:c r="C37" s="34" t="str">
        <x:v>SLA-007</x:v>
      </x:c>
      <x:c r="D37" s="34" t="str">
        <x:v>SLA-007 [MUST] P1/P2 目标即将违约时自动升级；对 External Expert 的等待同时显示 OLA 与端到端影响</x:v>
      </x:c>
      <x:c r="E37" s="34" t="str">
        <x:v>原表“当前系统已经有的”记录：有预警和升级服务
本次未取得此项新的代码/运行验收证据。</x:v>
      </x:c>
      <x:c r="F37" s="34" t="str">
        <x:v>仅保留历史判断供复核，不作为当前实现已通过的证明。</x:v>
      </x:c>
      <x:c r="G37" s="34" t="str">
        <x:v>未执行运行场景，未审计全部实现；状态沿用原表工作判断。原文映射仅表示相关，不代表覆盖整条需求。</x:v>
      </x:c>
      <x:c r="H37" s="34" t="str">
        <x:v>临近违约时准确通知并记录升级
留证：环境/版本、前置配置、输入、实际与预期、截图或脱敏接口响应、测试人及时间。</x:v>
      </x:c>
      <x:c r="I37" s="34" t="str">
        <x:v>部分完成</x:v>
      </x:c>
      <x:c r="J37" s="34" t="str">
        <x:v>保留原功能拆分，补真实原文摘录、来源级别及证据范围；本次不新增验收通过结论。
原表状态：部分完成。</x:v>
      </x:c>
      <x:c r="K37" s="34" t="str">
        <x:v>待团队确认：人力、依赖、范围、节假日与剩余工作量。原日期/人日仅保留讨论。</x:v>
      </x:c>
    </x:row>
    <x:row r="38" ht="52" customHeight="1">
      <x:c r="A38" s="34" t="str">
        <x:v>FUN-048</x:v>
      </x:c>
      <x:c r="B38" s="34" t="str">
        <x:v>原文要求（功能拆分）</x:v>
      </x:c>
      <x:c r="C38" s="34" t="str">
        <x:v>KB-002；KB-003</x:v>
      </x:c>
      <x:c r="D38" s="34" t="str">
        <x:v>KB-002 [MUST] Ops Core 保存 Article Version、Approval State、Reviewer、Effective Period、Ticket Usage 和 Outcome Metadata
KB-003 [MUST] 仅 Approved 且当前有效的文章可用于 Agent 标准答复；Draft、Expired 或 Withdrawn 文章必须明显受限</x:v>
      </x:c>
      <x:c r="E38" s="34" t="str">
        <x:v>原表“当前系统已经有的”记录：已有知识候选审核和索引发布门禁
本次未取得此项新的代码/运行验收证据。</x:v>
      </x:c>
      <x:c r="F38" s="34" t="str">
        <x:v>仅保留历史判断供复核，不作为当前实现已通过的证明。</x:v>
      </x:c>
      <x:c r="G38" s="34" t="str">
        <x:v>未执行运行场景，未审计全部实现；状态沿用原表工作判断。原文映射仅表示相关，不代表覆盖整条需求。</x:v>
      </x:c>
      <x:c r="H38" s="34" t="str">
        <x:v>草稿/过期/撤回文章不能作为标准答复
留证：环境/版本、前置配置、输入、实际与预期、截图或脱敏接口响应、测试人及时间。</x:v>
      </x:c>
      <x:c r="I38" s="34" t="str">
        <x:v>部分完成</x:v>
      </x:c>
      <x:c r="J38" s="34" t="str">
        <x:v>保留原功能拆分，补真实原文摘录、来源级别及证据范围；本次不新增验收通过结论。
原表状态：部分完成。</x:v>
      </x:c>
      <x:c r="K38" s="34" t="str">
        <x:v>待团队确认：人力、依赖、范围、节假日与剩余工作量。原日期/人日仅保留讨论。</x:v>
      </x:c>
    </x:row>
    <x:row r="39" ht="46" customHeight="1">
      <x:c r="A39" s="34" t="str">
        <x:v>FUN-049</x:v>
      </x:c>
      <x:c r="B39" s="34" t="str">
        <x:v>原文要求（功能拆分）</x:v>
      </x:c>
      <x:c r="C39" s="34" t="str">
        <x:v>KB-002</x:v>
      </x:c>
      <x:c r="D39" s="34" t="str">
        <x:v>KB-002 [MUST] Ops Core 保存 Article Version、Approval State、Reviewer、Effective Period、Ticket Usage 和 Outcome Metadata</x:v>
      </x:c>
      <x:c r="E39" s="34" t="str">
        <x:v>原表“当前系统已经有的”记录：有索引版本、检索日志和使用信息基础
本次未取得此项新的代码/运行验收证据。</x:v>
      </x:c>
      <x:c r="F39" s="34" t="str">
        <x:v>仅保留历史判断供复核，不作为当前实现已通过的证明。</x:v>
      </x:c>
      <x:c r="G39" s="34" t="str">
        <x:v>未执行运行场景，未审计全部实现；状态沿用原表工作判断。原文映射仅表示相关，不代表覆盖整条需求。</x:v>
      </x:c>
      <x:c r="H39" s="34" t="str">
        <x:v>可查某版本用于哪些工单及解决效果
留证：环境/版本、前置配置、输入、实际与预期、截图或脱敏接口响应、测试人及时间。</x:v>
      </x:c>
      <x:c r="I39" s="34" t="str">
        <x:v>部分完成</x:v>
      </x:c>
      <x:c r="J39" s="34" t="str">
        <x:v>保留原功能拆分，补真实原文摘录、来源级别及证据范围；本次不新增验收通过结论。
原表状态：部分完成。</x:v>
      </x:c>
      <x:c r="K39" s="34" t="str">
        <x:v>待团队确认：人力、依赖、范围、节假日与剩余工作量。原日期/人日仅保留讨论。</x:v>
      </x:c>
    </x:row>
    <x:row r="40" ht="46" customHeight="1">
      <x:c r="A40" s="34" t="str">
        <x:v>FUN-045</x:v>
      </x:c>
      <x:c r="B40" s="34" t="str">
        <x:v>原文要求（功能拆分）</x:v>
      </x:c>
      <x:c r="C40" s="34" t="str">
        <x:v>SLA-008</x:v>
      </x:c>
      <x:c r="D40" s="34" t="str">
        <x:v>SLA-008 [SHOULD] 支持目标模拟器，在修改 Calendar、Priority 或 Target Profile 前计算历史影响</x:v>
      </x:c>
      <x:c r="E40" s="34" t="str">
        <x:v>原表“当前系统已经有的”记录：未找到历史影响模拟功能
本次未取得此项新的代码/运行验收证据。</x:v>
      </x:c>
      <x:c r="F40" s="34" t="str">
        <x:v>仅保留历史判断供复核，不作为当前实现已通过的证明。</x:v>
      </x:c>
      <x:c r="G40" s="34" t="str">
        <x:v>未执行运行场景，未审计全部实现；状态沿用原表工作判断。原文映射仅表示相关，不代表覆盖整条需求。</x:v>
      </x:c>
      <x:c r="H40" s="34" t="str">
        <x:v>修改前看到违约数及受影响工单变化
留证：环境/版本、前置配置、输入、实际与预期、截图或脱敏接口响应、测试人及时间。</x:v>
      </x:c>
      <x:c r="I40" s="34" t="str">
        <x:v>待完成</x:v>
      </x:c>
      <x:c r="J40" s="34" t="str">
        <x:v>保留原功能拆分，补真实原文摘录、来源级别及证据范围；本次不新增验收通过结论。
原表状态：待完成。</x:v>
      </x:c>
      <x:c r="K40" s="34" t="str">
        <x:v>待团队确认：人力、依赖、范围、节假日与剩余工作量。原日期/人日仅保留讨论。</x:v>
      </x:c>
    </x:row>
    <x:row r="41" ht="46" customHeight="1">
      <x:c r="A41" s="34" t="str">
        <x:v>FUN-050</x:v>
      </x:c>
      <x:c r="B41" s="34" t="str">
        <x:v>原文要求（功能拆分）</x:v>
      </x:c>
      <x:c r="C41" s="34" t="str">
        <x:v>KB-004</x:v>
      </x:c>
      <x:c r="D41" s="34" t="str">
        <x:v>KB-004 [MUST] 每个 Known Error 应关联 Workaround、受影响 Component、风险、适用范围和 Permanent Fix Owner</x:v>
      </x:c>
      <x:c r="E41" s="34" t="str">
        <x:v>原表“当前系统已经有的”记录：未找到完整Known Error业务对象
本次未取得此项新的代码/运行验收证据。</x:v>
      </x:c>
      <x:c r="F41" s="34" t="str">
        <x:v>仅保留历史判断供复核，不作为当前实现已通过的证明。</x:v>
      </x:c>
      <x:c r="G41" s="34" t="str">
        <x:v>未执行运行场景，未审计全部实现；状态沿用原表工作判断。原文映射仅表示相关，不代表覆盖整条需求。</x:v>
      </x:c>
      <x:c r="H41" s="34" t="str">
        <x:v>客服能找到当前适用的已知问题处理办法
留证：环境/版本、前置配置、输入、实际与预期、截图或脱敏接口响应、测试人及时间。</x:v>
      </x:c>
      <x:c r="I41" s="34" t="str">
        <x:v>待完成</x:v>
      </x:c>
      <x:c r="J41" s="34" t="str">
        <x:v>保留原功能拆分，补真实原文摘录、来源级别及证据范围；本次不新增验收通过结论。
原表状态：待完成。</x:v>
      </x:c>
      <x:c r="K41" s="34" t="str">
        <x:v>待团队确认：人力、依赖、范围、节假日与剩余工作量。原日期/人日仅保留讨论。</x:v>
      </x:c>
    </x:row>
    <x:row r="42" ht="46" customHeight="1">
      <x:c r="A42" s="34" t="str">
        <x:v>FUN-052</x:v>
      </x:c>
      <x:c r="B42" s="34" t="str">
        <x:v>原文要求（功能拆分）</x:v>
      </x:c>
      <x:c r="C42" s="34" t="str">
        <x:v>DCH-003</x:v>
      </x:c>
      <x:c r="D42" s="34" t="str">
        <x:v>DCH-003 [MUST] 基础 Chatbot 仅提供已审批知识问答、Intent Triage、结构化信息采集、English/Arabic 语言选择和 Human Handoff，不得自主执行交易、账户、退款、赔付、封禁或 Priority 最终裁决</x:v>
      </x:c>
      <x:c r="E42" s="34" t="str">
        <x:v>原表“当前系统已经有的”记录：已有可配置AI工作流和上下文节点
本次未取得此项新的代码/运行验收证据。</x:v>
      </x:c>
      <x:c r="F42" s="34" t="str">
        <x:v>仅保留历史判断供复核，不作为当前实现已通过的证明。</x:v>
      </x:c>
      <x:c r="G42" s="34" t="str">
        <x:v>未执行运行场景，未审计全部实现；状态沿用原表工作判断。原文映射仅表示相关，不代表覆盖整条需求。</x:v>
      </x:c>
      <x:c r="H42" s="34" t="str">
        <x:v>各意图收集正确字段并进入正确处理流程
留证：环境/版本、前置配置、输入、实际与预期、截图或脱敏接口响应、测试人及时间。</x:v>
      </x:c>
      <x:c r="I42" s="34" t="str">
        <x:v>部分完成</x:v>
      </x:c>
      <x:c r="J42" s="34" t="str">
        <x:v>保留原功能拆分，补真实原文摘录、来源级别及证据范围；本次不新增验收通过结论。
原表状态：部分完成。</x:v>
      </x:c>
      <x:c r="K42" s="34" t="str">
        <x:v>待团队确认：人力、依赖、范围、节假日与剩余工作量。原日期/人日仅保留讨论。</x:v>
      </x:c>
    </x:row>
    <x:row r="43" ht="46" customHeight="1">
      <x:c r="A43" s="34" t="str">
        <x:v>FUN-053</x:v>
      </x:c>
      <x:c r="B43" s="34" t="str">
        <x:v>原文要求（功能拆分）</x:v>
      </x:c>
      <x:c r="C43" s="34" t="str">
        <x:v>DCH-004</x:v>
      </x:c>
      <x:c r="D43" s="34" t="str">
        <x:v>DCH-004 [MUST] Bot Content、Intent、Flow、Fallback Threshold、Sensitive Intent 和 Escalation Policy 必须版本化、审批并可回滚；低置信度、连续失败、用户要求人工或命中敏感意图时强制转人工</x:v>
      </x:c>
      <x:c r="E43" s="34" t="str">
        <x:v>原表“当前系统已经有的”记录：已有证据不足分支及人工介入功能
本次未取得此项新的代码/运行验收证据。</x:v>
      </x:c>
      <x:c r="F43" s="34" t="str">
        <x:v>仅保留历史判断供复核，不作为当前实现已通过的证明。</x:v>
      </x:c>
      <x:c r="G43" s="34" t="str">
        <x:v>未执行运行场景，未审计全部实现；状态沿用原表工作判断。原文映射仅表示相关，不代表覆盖整条需求。</x:v>
      </x:c>
      <x:c r="H43" s="34" t="str">
        <x:v>触发任一转人工条件时不继续无效问答
留证：环境/版本、前置配置、输入、实际与预期、截图或脱敏接口响应、测试人及时间。</x:v>
      </x:c>
      <x:c r="I43" s="34" t="str">
        <x:v>部分完成</x:v>
      </x:c>
      <x:c r="J43" s="34" t="str">
        <x:v>保留原功能拆分，补真实原文摘录、来源级别及证据范围；本次不新增验收通过结论。
原表状态：部分完成。</x:v>
      </x:c>
      <x:c r="K43" s="34" t="str">
        <x:v>待团队确认：人力、依赖、范围、节假日与剩余工作量。原日期/人日仅保留讨论。</x:v>
      </x:c>
    </x:row>
    <x:row r="44" ht="46" customHeight="1">
      <x:c r="A44" s="34" t="str">
        <x:v>FUN-055</x:v>
      </x:c>
      <x:c r="B44" s="34" t="str">
        <x:v>原文要求（功能拆分）</x:v>
      </x:c>
      <x:c r="C44" s="34" t="str">
        <x:v>DCH-007</x:v>
      </x:c>
      <x:c r="D44" s="34" t="str">
        <x:v>DCH-007 [MUST] 数字渠道必须执行 PII 最小化、日志脱敏、Retention、Deletion/Legal Hold、Attachment Scan、访问控制和完整 Audit；Bot 必须可清晰声明身份并支持用户退出自动交互</x:v>
      </x:c>
      <x:c r="E44" s="34" t="str">
        <x:v>原表“当前系统已经有的”记录：用户可请求人工；当前接待名称可能含糊
本次未取得此项新的代码/运行验收证据。</x:v>
      </x:c>
      <x:c r="F44" s="34" t="str">
        <x:v>仅保留历史判断供复核，不作为当前实现已通过的证明。</x:v>
      </x:c>
      <x:c r="G44" s="34" t="str">
        <x:v>未执行运行场景，未审计全部实现；状态沿用原表工作判断。原文映射仅表示相关，不代表覆盖整条需求。</x:v>
      </x:c>
      <x:c r="H44" s="34" t="str">
        <x:v>用户退出后由人工接管且不再收到自动回复
留证：环境/版本、前置配置、输入、实际与预期、截图或脱敏接口响应、测试人及时间。</x:v>
      </x:c>
      <x:c r="I44" s="34" t="str">
        <x:v>部分完成</x:v>
      </x:c>
      <x:c r="J44" s="34" t="str">
        <x:v>保留原功能拆分，补真实原文摘录、来源级别及证据范围；本次不新增验收通过结论。
原表状态：部分完成。</x:v>
      </x:c>
      <x:c r="K44" s="34" t="str">
        <x:v>待团队确认：人力、依赖、范围、节假日与剩余工作量。原日期/人日仅保留讨论。</x:v>
      </x:c>
    </x:row>
    <x:row r="45" ht="46" customHeight="1">
      <x:c r="A45" s="34" t="str">
        <x:v>FUN-051</x:v>
      </x:c>
      <x:c r="B45" s="34" t="str">
        <x:v>原文要求（功能拆分）</x:v>
      </x:c>
      <x:c r="C45" s="34" t="str">
        <x:v>KB-005</x:v>
      </x:c>
      <x:c r="D45" s="34" t="str">
        <x:v>KB-005 [SHOULD] QA、Reopen、Escalation 和低解决率应生成 Knowledge Improvement Candidate</x:v>
      </x:c>
      <x:c r="E45" s="34" t="str">
        <x:v>原表“当前系统已经有的”记录：已有知识候选、评分和审核服务
本次未取得此项新的代码/运行验收证据。</x:v>
      </x:c>
      <x:c r="F45" s="34" t="str">
        <x:v>仅保留历史判断供复核，不作为当前实现已通过的证明。</x:v>
      </x:c>
      <x:c r="G45" s="34" t="str">
        <x:v>未执行运行场景，未审计全部实现；状态沿用原表工作判断。原文映射仅表示相关，不代表覆盖整条需求。</x:v>
      </x:c>
      <x:c r="H45" s="34" t="str">
        <x:v>发现重复问题后产生去重候选并跟踪审批
留证：环境/版本、前置配置、输入、实际与预期、截图或脱敏接口响应、测试人及时间。</x:v>
      </x:c>
      <x:c r="I45" s="34" t="str">
        <x:v>部分完成</x:v>
      </x:c>
      <x:c r="J45" s="34" t="str">
        <x:v>保留原功能拆分，补真实原文摘录、来源级别及证据范围；本次不新增验收通过结论。
原表状态：部分完成。</x:v>
      </x:c>
      <x:c r="K45" s="34" t="str">
        <x:v>待团队确认：人力、依赖、范围、节假日与剩余工作量。原日期/人日仅保留讨论。</x:v>
      </x:c>
    </x:row>
    <x:row r="46" ht="46" customHeight="1">
      <x:c r="A46" s="34" t="str">
        <x:v>FUN-029</x:v>
      </x:c>
      <x:c r="B46" s="34" t="str">
        <x:v>原文要求（功能拆分）</x:v>
      </x:c>
      <x:c r="C46" s="34" t="str">
        <x:v>REG-001</x:v>
      </x:c>
      <x:c r="D46" s="34" t="str">
        <x:v>REG-001 [MUST] 每个 Active Service/Component 必须配置 Support Group、Owner、Coverage Calendar、Escalation Route 和 Active Period</x:v>
      </x:c>
      <x:c r="E46" s="34" t="str">
        <x:v>原表“当前系统已经有的”记录：已有产品/模块/支持组织可以复用
本次未取得此项新的代码/运行验收证据。</x:v>
      </x:c>
      <x:c r="F46" s="34" t="str">
        <x:v>仅保留历史判断供复核，不作为当前实现已通过的证明。</x:v>
      </x:c>
      <x:c r="G46" s="34" t="str">
        <x:v>未执行运行场景，未审计全部实现；状态沿用原表工作判断。原文映射仅表示相关，不代表覆盖整条需求。</x:v>
      </x:c>
      <x:c r="H46" s="34" t="str">
        <x:v>每个活动组件都能找到有效支援路径
留证：环境/版本、前置配置、输入、实际与预期、截图或脱敏接口响应、测试人及时间。</x:v>
      </x:c>
      <x:c r="I46" s="34" t="str">
        <x:v>部分完成</x:v>
      </x:c>
      <x:c r="J46" s="34" t="str">
        <x:v>产品/模块模型可复用，但不自动等同于原文服务/组件 Registry。
原表状态：部分完成。</x:v>
      </x:c>
      <x:c r="K46" s="34" t="str">
        <x:v>待团队确认：人力、依赖、范围、节假日与剩余工作量。原日期/人日仅保留讨论。</x:v>
      </x:c>
    </x:row>
    <x:row r="47" ht="46" customHeight="1">
      <x:c r="A47" s="34" t="str">
        <x:v>FUN-030</x:v>
      </x:c>
      <x:c r="B47" s="34" t="str">
        <x:v>原文要求（功能拆分）</x:v>
      </x:c>
      <x:c r="C47" s="34" t="str">
        <x:v>REG-002</x:v>
      </x:c>
      <x:c r="D47" s="34" t="str">
        <x:v>REG-002 [MUST] 非 DayPop 组件必须配置 External Expert、Contact Route、OLA Profile、Contract/Support Reference 和替代升级路径</x:v>
      </x:c>
      <x:c r="E47" s="34" t="str">
        <x:v>原表“当前系统已经有的”记录：已有供应商及协作人员管理
本次未取得此项新的代码/运行验收证据。</x:v>
      </x:c>
      <x:c r="F47" s="34" t="str">
        <x:v>仅保留历史判断供复核，不作为当前实现已通过的证明。</x:v>
      </x:c>
      <x:c r="G47" s="34" t="str">
        <x:v>未执行运行场景，未审计全部实现；状态沿用原表工作判断。原文映射仅表示相关，不代表覆盖整条需求。</x:v>
      </x:c>
      <x:c r="H47" s="34" t="str">
        <x:v>外部组件可查专家、合同及承诺时限
留证：环境/版本、前置配置、输入、实际与预期、截图或脱敏接口响应、测试人及时间。</x:v>
      </x:c>
      <x:c r="I47" s="34" t="str">
        <x:v>部分完成</x:v>
      </x:c>
      <x:c r="J47" s="34" t="str">
        <x:v>保留原功能拆分，补真实原文摘录、来源级别及证据范围；本次不新增验收通过结论。
原表状态：部分完成。</x:v>
      </x:c>
      <x:c r="K47" s="34" t="str">
        <x:v>待团队确认：人力、依赖、范围、节假日与剩余工作量。原日期/人日仅保留讨论。</x:v>
      </x:c>
    </x:row>
    <x:row r="48" ht="66" customHeight="1">
      <x:c r="A48" s="34" t="str">
        <x:v>FUN-056</x:v>
      </x:c>
      <x:c r="B48" s="34" t="str">
        <x:v>原文要求（功能拆分）</x:v>
      </x:c>
      <x:c r="C48" s="34" t="str">
        <x:v>DCH-003；DCH-004</x:v>
      </x:c>
      <x:c r="D48" s="34" t="str">
        <x:v>DCH-003 [MUST] 基础 Chatbot 仅提供已审批知识问答、Intent Triage、结构化信息采集、English/Arabic 语言选择和 Human Handoff，不得自主执行交易、账户、退款、赔付、封禁或 Priority 最终裁决
DCH-004 [MUST] Bot Content、Intent、Flow、Fallback Threshold、Sensitive Intent 和 Escalation Policy 必须版本化、审批并可回滚；低置信度、连续失败、用户要求人工或命中敏感意图时强制转人工</x:v>
      </x:c>
      <x:c r="E48" s="34" t="str">
        <x:v>原表“当前系统已经有的”记录：有工作流工具权限和安全分支基础
本次未取得此项新的代码/运行验收证据。</x:v>
      </x:c>
      <x:c r="F48" s="34" t="str">
        <x:v>仅保留历史判断供复核，不作为当前实现已通过的证明。</x:v>
      </x:c>
      <x:c r="G48" s="34" t="str">
        <x:v>未执行运行场景，未审计全部实现；状态沿用原表工作判断。原文映射仅表示相关，不代表覆盖整条需求。</x:v>
      </x:c>
      <x:c r="H48" s="34" t="str">
        <x:v>机器人无法自主执行禁止动作，包括绕过提示词或调用工具；人工业务审批不直接视为允许机器人代执行。
留证：环境/版本、前置配置、输入、实际与预期、截图或脱敏接口响应、测试人及时间。</x:v>
      </x:c>
      <x:c r="I48" s="34" t="str">
        <x:v>部分完成</x:v>
      </x:c>
      <x:c r="J48" s="34" t="str">
        <x:v>原文是禁止 Bot 自主执行高风险业务，不能弱化为添加人工审批后即可自动执行。
原表状态：部分完成。</x:v>
      </x:c>
      <x:c r="K48" s="34" t="str">
        <x:v>待团队确认：人力、依赖、范围、节假日与剩余工作量。原日期/人日仅保留讨论。</x:v>
      </x:c>
    </x:row>
    <x:row r="49" ht="46" customHeight="1">
      <x:c r="A49" s="34" t="str">
        <x:v>FUN-034</x:v>
      </x:c>
      <x:c r="B49" s="34" t="str">
        <x:v>原文要求（功能拆分）</x:v>
      </x:c>
      <x:c r="C49" s="34" t="str">
        <x:v>REG-003</x:v>
      </x:c>
      <x:c r="D49" s="34" t="str">
        <x:v>REG-003 [MUST] Registry 记录必须 Versioned 和 Effective-dated；工单保留其发生时所使用的版本</x:v>
      </x:c>
      <x:c r="E49" s="34" t="str">
        <x:v>原表“当前系统已经有的”记录：未找到完整目录历史生效版本功能
本次未取得此项新的代码/运行验收证据。</x:v>
      </x:c>
      <x:c r="F49" s="34" t="str">
        <x:v>仅保留历史判断供复核，不作为当前实现已通过的证明。</x:v>
      </x:c>
      <x:c r="G49" s="34" t="str">
        <x:v>未执行运行场景，未审计全部实现；状态沿用原表工作判断。原文映射仅表示相关，不代表覆盖整条需求。</x:v>
      </x:c>
      <x:c r="H49" s="34" t="str">
        <x:v>变更目录不改历史工单责任依据
留证：环境/版本、前置配置、输入、实际与预期、截图或脱敏接口响应、测试人及时间。</x:v>
      </x:c>
      <x:c r="I49" s="34" t="str">
        <x:v>待完成</x:v>
      </x:c>
      <x:c r="J49" s="34" t="str">
        <x:v>保留原功能拆分，补真实原文摘录、来源级别及证据范围；本次不新增验收通过结论。
原表状态：待完成。</x:v>
      </x:c>
      <x:c r="K49" s="34" t="str">
        <x:v>待团队确认：人力、依赖、范围、节假日与剩余工作量。原日期/人日仅保留讨论。</x:v>
      </x:c>
    </x:row>
    <x:row r="50" ht="108" customHeight="1">
      <x:c r="A50" s="34" t="str">
        <x:v>FUN-061</x:v>
      </x:c>
      <x:c r="B50" s="34" t="str">
        <x:v>原文要求（功能拆分）</x:v>
      </x:c>
      <x:c r="C50" s="34" t="str">
        <x:v>§11.5；TKT-009；DCH-003</x:v>
      </x:c>
      <x:c r="D50" s="34" t="str">
        <x:v>§11.5 [设计章节（非需求编号）] V1 仅认证 Ubuntu Server 24.04 LTS 和 x86_64。 使用 OCI Image、标准 Linux、Podman Quadlet 和 systemd，避免云厂商专属运行时。 Canonical Config、Data 和 API Code 使用英文。 内部设计与 Runbook 可使用中文；Agent UI 使用 GLPI 语言包支持 English、Chinese 和 Arabic。 Arabic 启用时必须验证 RTL、表格、通知和导出，不仅验证字符串存在。 ARM64、Rocky/RHEL、Kubernetes/Helm 和 Air-gapped Profile 进入后续路线图。
TKT-009 [MUST] 用户和内部通知必须使用批准模板、Locale 和敏感信息规则，并保存发送结果
DCH-003 [MUST] 基础 Chatbot 仅提供已审批知识问答、Intent Triage、结构化信息采集、English/Arabic 语言选择和 Human Handoff，不得自主执行交易、账户、退款、赔付、封禁或 Priority 最终裁决</x:v>
      </x:c>
      <x:c r="E50" s="34" t="str">
        <x:v>原表“当前系统已经有的”记录：已有英文语言包和已验证英文欢迎；历史仍有中文残留
本次未取得此项新的代码/运行验收证据。</x:v>
      </x:c>
      <x:c r="F50" s="34" t="str">
        <x:v>仅保留历史判断供复核，不作为当前实现已通过的证明。</x:v>
      </x:c>
      <x:c r="G50" s="34" t="str">
        <x:v>未执行运行场景，未审计全部实现；状态沿用原表工作判断。原文映射仅表示相关，不代表覆盖整条需求。</x:v>
      </x:c>
      <x:c r="H50" s="34" t="str">
        <x:v>英语用户端到端操作无非预期中文
留证：环境/版本、前置配置、输入、实际与预期、截图或脱敏接口响应、测试人及时间。</x:v>
      </x:c>
      <x:c r="I50" s="34" t="str">
        <x:v>部分完成</x:v>
      </x:c>
      <x:c r="J50" s="34" t="str">
        <x:v>DES-005 不存在，替换为第 11.5 节；英文自动欢迎是通知实施细化，不是原文独立功能。
原表状态：部分完成。</x:v>
      </x:c>
      <x:c r="K50" s="34" t="str">
        <x:v>待团队确认：人力、依赖、范围、节假日与剩余工作量。原日期/人日仅保留讨论。</x:v>
      </x:c>
    </x:row>
    <x:row r="51" ht="66" customHeight="1">
      <x:c r="A51" s="34" t="str">
        <x:v>FUN-032</x:v>
      </x:c>
      <x:c r="B51" s="34" t="str">
        <x:v>原文要求（功能拆分）</x:v>
      </x:c>
      <x:c r="C51" s="34" t="str">
        <x:v>REG-004；§9.2</x:v>
      </x:c>
      <x:c r="D51" s="34" t="str">
        <x:v>REG-004 [MUST] Expert Handoff 必须包含问题描述、影响、已执行动作、证据、时间线和明确问题；Handback 必须满足配置的返回条件
§9.2 [设计章节（非需求编号）] 验证是否满足 Handback Condition。 不满足时保持 Dependency Open，记录缺口并再次请求。 满足时关闭 Dependency，DayPop Accountable Clock 返回 DayPop Active，完成验证、沟通和关闭。</x:v>
      </x:c>
      <x:c r="E51" s="34" t="str">
        <x:v>原表“当前系统已经有的”记录：已有供应商处理与回交能力
本次未取得此项新的代码/运行验收证据。</x:v>
      </x:c>
      <x:c r="F51" s="34" t="str">
        <x:v>仅保留历史判断供复核，不作为当前实现已通过的证明。</x:v>
      </x:c>
      <x:c r="G51" s="34" t="str">
        <x:v>未执行运行场景，未审计全部实现；状态沿用原表工作判断。原文映射仅表示相关，不代表覆盖整条需求。</x:v>
      </x:c>
      <x:c r="H51" s="34" t="str">
        <x:v>回交不完整时继续等待并显示缺口
留证：环境/版本、前置配置、输入、实际与预期、截图或脱敏接口响应、测试人及时间。</x:v>
      </x:c>
      <x:c r="I51" s="34" t="str">
        <x:v>部分完成</x:v>
      </x:c>
      <x:c r="J51" s="34" t="str">
        <x:v>第 9.2 节要求回交不完整保持依赖打开并记录缺口，满足后再恢复己方责任。
原表状态：部分完成。</x:v>
      </x:c>
      <x:c r="K51" s="34" t="str">
        <x:v>待团队确认：人力、依赖、范围、节假日与剩余工作量。原日期/人日仅保留讨论。</x:v>
      </x:c>
    </x:row>
    <x:row r="52" ht="122" customHeight="1">
      <x:c r="A52" s="34" t="str">
        <x:v>FUN-033</x:v>
      </x:c>
      <x:c r="B52" s="34" t="str">
        <x:v>原文要求（功能拆分）</x:v>
      </x:c>
      <x:c r="C52" s="34" t="str">
        <x:v>REG-002；SLA-007；§8.5；§9.2</x:v>
      </x:c>
      <x:c r="D52" s="34" t="str">
        <x:v>REG-002 [MUST] 非 DayPop 组件必须配置 External Expert、Contact Route、OLA Profile、Contract/Support Reference 和替代升级路径
SLA-007 [MUST] P1/P2 目标即将违约时自动升级；对 External Expert 的等待同时显示 OLA 与端到端影响
§8.5 [设计章节（非需求编号）] 无论渠道如何，Ops Core 必须生成内部 Dependency ID，记录 External Reference、Acknowledgement、Follow-up、Handback、OLA 和当前责任状态。外部系统不得成为 DayPop Clock 的唯一事实源。
§9.2 [设计章节（非需求编号）] End-to-end Clock 持续运行。 External Expert OLA 独立计算。 用户 Update Cadence 是否继续由 DayPop 承担，按 Service Target Profile 计算。 到达 Reminder 或 Escalation 阈值时自动通知当前 Expert 和 Escalation Route。</x:v>
      </x:c>
      <x:c r="E52" s="34" t="str">
        <x:v>原表“当前系统已经有的”记录：已有协作和超时相关代码
本次未取得此项新的代码/运行验收证据。</x:v>
      </x:c>
      <x:c r="F52" s="34" t="str">
        <x:v>仅保留历史判断供复核，不作为当前实现已通过的证明。</x:v>
      </x:c>
      <x:c r="G52" s="34" t="str">
        <x:v>未执行运行场景，未审计全部实现；状态沿用原表工作判断。原文映射仅表示相关，不代表覆盖整条需求。</x:v>
      </x:c>
      <x:c r="H52" s="34" t="str">
        <x:v>专家超时自动通知并保留催办记录
留证：环境/版本、前置配置、输入、实际与预期、截图或脱敏接口响应、测试人及时间。</x:v>
      </x:c>
      <x:c r="I52" s="34" t="str">
        <x:v>部分完成</x:v>
      </x:c>
      <x:c r="J52" s="34" t="str">
        <x:v>补独立依赖、OLA、跟进和升级依据，邀请超时并不等于完整专家等待计时。
原表状态：部分完成。</x:v>
      </x:c>
      <x:c r="K52" s="34" t="str">
        <x:v>待团队确认：人力、依赖、范围、节假日与剩余工作量。原日期/人日仅保留讨论。</x:v>
      </x:c>
    </x:row>
    <x:row r="53" ht="46" customHeight="1">
      <x:c r="A53" s="34" t="str">
        <x:v>FUN-035</x:v>
      </x:c>
      <x:c r="B53" s="34" t="str">
        <x:v>原文要求（功能拆分）</x:v>
      </x:c>
      <x:c r="C53" s="34" t="str">
        <x:v>REG-005</x:v>
      </x:c>
      <x:c r="D53" s="34" t="str">
        <x:v>REG-005 [MUST] 缺少 Expert、Access、Knowledge、Monitoring 或 OLA 的组件必须显示 Restricted Support 状态和原因</x:v>
      </x:c>
      <x:c r="E53" s="34" t="str">
        <x:v>原表“当前系统已经有的”记录：资源配置失败可见，但不等于完整限制服务判断
本次未取得此项新的代码/运行验收证据。</x:v>
      </x:c>
      <x:c r="F53" s="34" t="str">
        <x:v>仅保留历史判断供复核，不作为当前实现已通过的证明。</x:v>
      </x:c>
      <x:c r="G53" s="34" t="str">
        <x:v>未执行运行场景，未审计全部实现；状态沿用原表工作判断。原文映射仅表示相关，不代表覆盖整条需求。</x:v>
      </x:c>
      <x:c r="H53" s="34" t="str">
        <x:v>缺少支援条件时明确显示限制服务及补齐项
留证：环境/版本、前置配置、输入、实际与预期、截图或脱敏接口响应、测试人及时间。</x:v>
      </x:c>
      <x:c r="I53" s="34" t="str">
        <x:v>待完成</x:v>
      </x:c>
      <x:c r="J53" s="34" t="str">
        <x:v>保留原功能拆分，补真实原文摘录、来源级别及证据范围；本次不新增验收通过结论。
原表状态：待完成。</x:v>
      </x:c>
      <x:c r="K53" s="34" t="str">
        <x:v>待团队确认：人力、依赖、范围、节假日与剩余工作量。原日期/人日仅保留讨论。</x:v>
      </x:c>
    </x:row>
    <x:row r="54" ht="46" customHeight="1">
      <x:c r="A54" s="34" t="str">
        <x:v>FUN-036</x:v>
      </x:c>
      <x:c r="B54" s="34" t="str">
        <x:v>原文要求（功能拆分）</x:v>
      </x:c>
      <x:c r="C54" s="34" t="str">
        <x:v>REG-006</x:v>
      </x:c>
      <x:c r="D54" s="34" t="str">
        <x:v>REG-006 [SHOULD] Registry 变更应自动触发受影响项目的 Readiness Review</x:v>
      </x:c>
      <x:c r="E54" s="34" t="str">
        <x:v>原表“当前系统已经有的”记录：未找到业务就绪复查流程
本次未取得此项新的代码/运行验收证据。</x:v>
      </x:c>
      <x:c r="F54" s="34" t="str">
        <x:v>仅保留历史判断供复核，不作为当前实现已通过的证明。</x:v>
      </x:c>
      <x:c r="G54" s="34" t="str">
        <x:v>未执行运行场景，未审计全部实现；状态沿用原表工作判断。原文映射仅表示相关，不代表覆盖整条需求。</x:v>
      </x:c>
      <x:c r="H54" s="34" t="str">
        <x:v>更换专家或OLA后相关项目有待复核任务
留证：环境/版本、前置配置、输入、实际与预期、截图或脱敏接口响应、测试人及时间。</x:v>
      </x:c>
      <x:c r="I54" s="34" t="str">
        <x:v>待完成</x:v>
      </x:c>
      <x:c r="J54" s="34" t="str">
        <x:v>保留原功能拆分，补真实原文摘录、来源级别及证据范围；本次不新增验收通过结论。
原表状态：待完成。</x:v>
      </x:c>
      <x:c r="K54" s="34" t="str">
        <x:v>待团队确认：人力、依赖、范围、节假日与剩余工作量。原日期/人日仅保留讨论。</x:v>
      </x:c>
    </x:row>
    <x:row r="55" ht="94" customHeight="1">
      <x:c r="A55" s="34" t="str">
        <x:v>FUN-062</x:v>
      </x:c>
      <x:c r="B55" s="34" t="str">
        <x:v>原文要求（功能拆分）</x:v>
      </x:c>
      <x:c r="C55" s="34" t="str">
        <x:v>DCH-003；§11.5</x:v>
      </x:c>
      <x:c r="D55" s="34" t="str">
        <x:v>DCH-003 [MUST] 基础 Chatbot 仅提供已审批知识问答、Intent Triage、结构化信息采集、English/Arabic 语言选择和 Human Handoff，不得自主执行交易、账户、退款、赔付、封禁或 Priority 最终裁决
§11.5 [设计章节（非需求编号）] V1 仅认证 Ubuntu Server 24.04 LTS 和 x86_64。 使用 OCI Image、标准 Linux、Podman Quadlet 和 systemd，避免云厂商专属运行时。 Canonical Config、Data 和 API Code 使用英文。 内部设计与 Runbook 可使用中文；Agent UI 使用 GLPI 语言包支持 English、Chinese 和 Arabic。 Arabic 启用时必须验证 RTL、表格、通知和导出，不仅验证字符串存在。 ARM64、Rocky/RHEL、Kubernetes/Helm 和 Air-gapped Profile 进入后续路线图。</x:v>
      </x:c>
      <x:c r="E55" s="34" t="str">
        <x:v>原表“当前系统已经有的”记录：当前语言文件为中/英/西，未见阿语完整实现
本次未取得此项新的代码/运行验收证据。</x:v>
      </x:c>
      <x:c r="F55" s="34" t="str">
        <x:v>仅保留历史判断供复核，不作为当前实现已通过的证明。</x:v>
      </x:c>
      <x:c r="G55" s="34" t="str">
        <x:v>未执行运行场景，未审计全部实现；状态沿用原表工作判断。原文映射仅表示相关，不代表覆盖整条需求。</x:v>
      </x:c>
      <x:c r="H55" s="34" t="str">
        <x:v>阿语界面、机器人、表格和导出均可用
留证：环境/版本、前置配置、输入、实际与预期、截图或脱敏接口响应、测试人及时间。</x:v>
      </x:c>
      <x:c r="I55" s="34" t="str">
        <x:v>待完成</x:v>
      </x:c>
      <x:c r="J55" s="34" t="str">
        <x:v>DES-005 替换为第 11.5 节，保留阿语 RTL、表格、通知与导出验收。
原表状态：待完成。</x:v>
      </x:c>
      <x:c r="K55" s="34" t="str">
        <x:v>待团队确认：人力、依赖、范围、节假日与剩余工作量。原日期/人日仅保留讨论。</x:v>
      </x:c>
    </x:row>
    <x:row r="56" ht="66" customHeight="1">
      <x:c r="A56" s="34" t="str">
        <x:v>FUN-057</x:v>
      </x:c>
      <x:c r="B56" s="34" t="str">
        <x:v>原文要求（功能拆分）</x:v>
      </x:c>
      <x:c r="C56" s="34" t="str">
        <x:v>DCH-001；TKT-001</x:v>
      </x:c>
      <x:c r="D56" s="34" t="str">
        <x:v>DCH-001 [MUST] WhatsApp 使用每项目独立的 Chatwoot Community Core 与官方 WhatsApp Cloud API 接入；渠道默认关闭，只有 Project Configuration、商业责任和 Readiness 全部批准后才能开放
TKT-001 [MUST] V1 必须支持 Email、Manual Phone、Monitoring Alert、REST API/Webhook、WhatsApp Conversation 和 Chatbot Handoff 六类来源，并保留原始 Channel 和 Source Record ID；未启用渠道不得暴露公网入口</x:v>
      </x:c>
      <x:c r="E56" s="34" t="str">
        <x:v>原表“当前系统已经有的”记录：当前有自研会话及其他连接器，未见完整WhatsApp接待
本次未取得此项新的代码/运行验收证据。</x:v>
      </x:c>
      <x:c r="F56" s="34" t="str">
        <x:v>仅保留历史判断供复核，不作为当前实现已通过的证明。</x:v>
      </x:c>
      <x:c r="G56" s="34" t="str">
        <x:v>未执行运行场景，未审计全部实现；状态沿用原表工作判断。原文映射仅表示相关，不代表覆盖整条需求。</x:v>
      </x:c>
      <x:c r="H56" s="34" t="str">
        <x:v>测试号码能双向收发并关联正确客户
留证：环境/版本、前置配置、输入、实际与预期、截图或脱敏接口响应、测试人及时间。</x:v>
      </x:c>
      <x:c r="I56" s="34" t="str">
        <x:v>待完成</x:v>
      </x:c>
      <x:c r="J56" s="34" t="str">
        <x:v>补回原文指定的组件、每项目独立部署与启用批准，不能只验官方 API 收发。
原表状态：待完成。</x:v>
      </x:c>
      <x:c r="K56" s="34" t="str">
        <x:v>待团队确认：人力、依赖、范围、节假日与剩余工作量。原日期/人日仅保留讨论。</x:v>
      </x:c>
    </x:row>
    <x:row r="57" ht="66" customHeight="1">
      <x:c r="A57" s="34" t="str">
        <x:v>FUN-058</x:v>
      </x:c>
      <x:c r="B57" s="34" t="str">
        <x:v>原文要求（功能拆分）</x:v>
      </x:c>
      <x:c r="C57" s="34" t="str">
        <x:v>DCH-005；DCH-006</x:v>
      </x:c>
      <x:c r="D57" s="34" t="str">
        <x:v>DCH-005 [MUST] Human Handoff 必须创建或关联 GLPI User Case，并携带 Conversation ID、Message/Transcript Reference、Locale、已采集上下文、Attachment Reference、Bot Handoff Reason 和 Consent/Opt-out 状态
DCH-006 [MUST] Chatwoot 是消息与会话事实源，GLPI 是 User Case/Ticket 事实源，Ops Core 保存双向 ID Mapping、Canonical Event、Handoff 和 Reconciliation；不得在两个系统独立修改同一事实</x:v>
      </x:c>
      <x:c r="E57" s="34" t="str">
        <x:v>原表“当前系统已经有的”记录：已有自研会话转工单基础
本次未取得此项新的代码/运行验收证据。</x:v>
      </x:c>
      <x:c r="F57" s="34" t="str">
        <x:v>仅保留历史判断供复核，不作为当前实现已通过的证明。</x:v>
      </x:c>
      <x:c r="G57" s="34" t="str">
        <x:v>未执行运行场景，未审计全部实现；状态沿用原表工作判断。原文映射仅表示相关，不代表覆盖整条需求。</x:v>
      </x:c>
      <x:c r="H57" s="34" t="str">
        <x:v>人工可查看完整交接上下文且重复回调不重复建单
留证：环境/版本、前置配置、输入、实际与预期、截图或脱敏接口响应、测试人及时间。</x:v>
      </x:c>
      <x:c r="I57" s="34" t="str">
        <x:v>部分完成</x:v>
      </x:c>
      <x:c r="J57" s="34" t="str">
        <x:v>保留原功能拆分，补真实原文摘录、来源级别及证据范围；本次不新增验收通过结论。
原表状态：部分完成。</x:v>
      </x:c>
      <x:c r="K57" s="34" t="str">
        <x:v>待团队确认：人力、依赖、范围、节假日与剩余工作量。原日期/人日仅保留讨论。</x:v>
      </x:c>
    </x:row>
    <x:row r="58" ht="66" customHeight="1">
      <x:c r="A58" s="34" t="str">
        <x:v>FUN-059</x:v>
      </x:c>
      <x:c r="B58" s="34" t="str">
        <x:v>原文要求（功能拆分）</x:v>
      </x:c>
      <x:c r="C58" s="34" t="str">
        <x:v>DCH-002；DCH-008</x:v>
      </x:c>
      <x:c r="D58" s="34" t="str">
        <x:v>DCH-002 [MUST] Conversation、Message、Media、Template、Delivery Status 和 Provider ID 保存在会话事实源；Webhook 必须执行签名/Token 校验、Replay 防护、Idempotency、Retry 和 Dead Letter
DCH-008 [MUST] Meta/WhatsApp、Chatwoot 或 Bot 故障必须进入可见 Backlog/Retry 并触发告警；项目 Runbook 必须定义 Phone/Email 或人工接管的降级路径</x:v>
      </x:c>
      <x:c r="E58" s="34" t="str">
        <x:v>原表“当前系统已经有的”记录：已有消息Outbox、重试和去重基础
本次未取得此项新的代码/运行验收证据。</x:v>
      </x:c>
      <x:c r="F58" s="34" t="str">
        <x:v>仅保留历史判断供复核，不作为当前实现已通过的证明。</x:v>
      </x:c>
      <x:c r="G58" s="34" t="str">
        <x:v>未执行运行场景，未审计全部实现；状态沿用原表工作判断。原文映射仅表示相关，不代表覆盖整条需求。</x:v>
      </x:c>
      <x:c r="H58" s="34" t="str">
        <x:v>断网恢复无丢单，重复消息只处理一次
留证：环境/版本、前置配置、输入、实际与预期、截图或脱敏接口响应、测试人及时间。</x:v>
      </x:c>
      <x:c r="I58" s="34" t="str">
        <x:v>部分完成</x:v>
      </x:c>
      <x:c r="J58" s="34" t="str">
        <x:v>补回 DCH-002/008 的安全、死信和降级约束。
原表状态：部分完成。</x:v>
      </x:c>
      <x:c r="K58" s="34" t="str">
        <x:v>待团队确认：人力、依赖、范围、节假日与剩余工作量。原日期/人日仅保留讨论。</x:v>
      </x:c>
    </x:row>
    <x:row r="59" ht="94" customHeight="1">
      <x:c r="A59" s="34" t="str">
        <x:v>FUN-060</x:v>
      </x:c>
      <x:c r="B59" s="34" t="str">
        <x:v>原文要求（功能拆分）</x:v>
      </x:c>
      <x:c r="C59" s="34" t="str">
        <x:v>DCH-001；DCH-008；C-10</x:v>
      </x:c>
      <x:c r="D59" s="34" t="str">
        <x:v>DCH-001 [MUST] WhatsApp 使用每项目独立的 Chatwoot Community Core 与官方 WhatsApp Cloud API 接入；渠道默认关闭，只有 Project Configuration、商业责任和 Readiness 全部批准后才能开放
DCH-008 [MUST] Meta/WhatsApp、Chatwoot 或 Bot 故障必须进入可见 Backlog/Retry 并触发告警；项目 Runbook 必须定义 Phone/Email 或人工接管的降级路径
C-10 [约束] WhatsApp 与基础 Chatbot 属于 V1 产品能力并按项目默认关闭；Public Portal、Status Page、Social/Web Chat、开放域生成式 AI、完整 WFM 和自建 PBX 不属于 V1</x:v>
      </x:c>
      <x:c r="E59" s="34" t="str">
        <x:v>原表“当前系统已经有的”记录：有企业AI能力和连接器启用配置
本次未取得此项新的代码/运行验收证据。</x:v>
      </x:c>
      <x:c r="F59" s="34" t="str">
        <x:v>仅保留历史判断供复核，不作为当前实现已通过的证明。</x:v>
      </x:c>
      <x:c r="G59" s="34" t="str">
        <x:v>未执行运行场景，未审计全部实现；状态沿用原表工作判断。原文映射仅表示相关，不代表覆盖整条需求。</x:v>
      </x:c>
      <x:c r="H59" s="34" t="str">
        <x:v>关闭时不可接入，启用后才开放相应服务
留证：环境/版本、前置配置、输入、实际与预期、截图或脱敏接口响应、测试人及时间。</x:v>
      </x:c>
      <x:c r="I59" s="34" t="str">
        <x:v>部分完成</x:v>
      </x:c>
      <x:c r="J59" s="34" t="str">
        <x:v>开关不是全部要求，需同时验证启用前置门禁。
原表状态：部分完成。</x:v>
      </x:c>
      <x:c r="K59" s="34" t="str">
        <x:v>待团队确认：人力、依赖、范围、节假日与剩余工作量。原日期/人日仅保留讨论。</x:v>
      </x:c>
    </x:row>
    <x:row r="60" ht="46" customHeight="1">
      <x:c r="A60" s="34" t="str">
        <x:v>FUN-064</x:v>
      </x:c>
      <x:c r="B60" s="34" t="str">
        <x:v>原文要求（功能拆分）</x:v>
      </x:c>
      <x:c r="C60" s="34" t="str">
        <x:v>MON-002</x:v>
      </x:c>
      <x:c r="D60" s="34" t="str">
        <x:v>MON-002 [MUST] 支持 HTTP、TCP、DNS 和经批准的 Synthetic Probe；不得绕过授权或制造交易数据风险</x:v>
      </x:c>
      <x:c r="E60" s="34" t="str">
        <x:v>原表“当前系统已经有的”记录：已有部分外部服务HTTP健康检测
本次未取得此项新的代码/运行验收证据。</x:v>
      </x:c>
      <x:c r="F60" s="34" t="str">
        <x:v>仅保留历史判断供复核，不作为当前实现已通过的证明。</x:v>
      </x:c>
      <x:c r="G60" s="34" t="str">
        <x:v>未执行运行场景，未审计全部实现；状态沿用原表工作判断。原文映射仅表示相关，不代表覆盖整条需求。</x:v>
      </x:c>
      <x:c r="H60" s="34" t="str">
        <x:v>指定服务故障可检测并显示原因
留证：环境/版本、前置配置、输入、实际与预期、截图或脱敏接口响应、测试人及时间。</x:v>
      </x:c>
      <x:c r="I60" s="34" t="str">
        <x:v>部分完成</x:v>
      </x:c>
      <x:c r="J60" s="34" t="str">
        <x:v>保留原功能拆分，补真实原文摘录、来源级别及证据范围；本次不新增验收通过结论。
原表状态：部分完成。</x:v>
      </x:c>
      <x:c r="K60" s="34" t="str">
        <x:v>待团队确认：人力、依赖、范围、节假日与剩余工作量。原日期/人日仅保留讨论。</x:v>
      </x:c>
    </x:row>
    <x:row r="61" ht="46" customHeight="1">
      <x:c r="A61" s="34" t="str">
        <x:v>FUN-065</x:v>
      </x:c>
      <x:c r="B61" s="34" t="str">
        <x:v>原文要求（功能拆分）</x:v>
      </x:c>
      <x:c r="C61" s="34" t="str">
        <x:v>MON-004</x:v>
      </x:c>
      <x:c r="D61" s="34" t="str">
        <x:v>MON-004 [MUST] Alert 可创建 Incident 或关联现有 Incident；Correlation 必须基于 Project、Service、Component、Fingerprint 和时间窗口</x:v>
      </x:c>
      <x:c r="E61" s="34" t="str">
        <x:v>原表“当前系统已经有的”记录：未找到完整告警到Incident关联业务
本次未取得此项新的代码/运行验收证据。</x:v>
      </x:c>
      <x:c r="F61" s="34" t="str">
        <x:v>仅保留历史判断供复核，不作为当前实现已通过的证明。</x:v>
      </x:c>
      <x:c r="G61" s="34" t="str">
        <x:v>未执行运行场景，未审计全部实现；状态沿用原表工作判断。原文映射仅表示相关，不代表覆盖整条需求。</x:v>
      </x:c>
      <x:c r="H61" s="34" t="str">
        <x:v>同故障告警关联同事件，不重复刷单
留证：环境/版本、前置配置、输入、实际与预期、截图或脱敏接口响应、测试人及时间。</x:v>
      </x:c>
      <x:c r="I61" s="34" t="str">
        <x:v>待完成</x:v>
      </x:c>
      <x:c r="J61" s="34" t="str">
        <x:v>保留原功能拆分，补真实原文摘录、来源级别及证据范围；本次不新增验收通过结论。
原表状态：待完成。</x:v>
      </x:c>
      <x:c r="K61" s="34" t="str">
        <x:v>待团队确认：人力、依赖、范围、节假日与剩余工作量。原日期/人日仅保留讨论。</x:v>
      </x:c>
    </x:row>
    <x:row r="62" ht="46" customHeight="1">
      <x:c r="A62" s="34" t="str">
        <x:v>FUN-067</x:v>
      </x:c>
      <x:c r="B62" s="34" t="str">
        <x:v>原文要求（功能拆分）</x:v>
      </x:c>
      <x:c r="C62" s="34" t="str">
        <x:v>MON-006</x:v>
      </x:c>
      <x:c r="D62" s="34" t="str">
        <x:v>MON-006 [MUST] Monitoring Alert 关闭不得自动关闭用户 Case；Closure 必须由可验证的 Restore/Resolve 证据驱动</x:v>
      </x:c>
      <x:c r="E62" s="34" t="str">
        <x:v>原表“当前系统已经有的”记录：告警与用户Case完整关联流程尚缺
本次未取得此项新的代码/运行验收证据。</x:v>
      </x:c>
      <x:c r="F62" s="34" t="str">
        <x:v>仅保留历史判断供复核，不作为当前实现已通过的证明。</x:v>
      </x:c>
      <x:c r="G62" s="34" t="str">
        <x:v>未执行运行场景，未审计全部实现；状态沿用原表工作判断。原文映射仅表示相关，不代表覆盖整条需求。</x:v>
      </x:c>
      <x:c r="H62" s="34" t="str">
        <x:v>恢复告警到达后客户工单仍按确认流程关闭
留证：环境/版本、前置配置、输入、实际与预期、截图或脱敏接口响应、测试人及时间。</x:v>
      </x:c>
      <x:c r="I62" s="34" t="str">
        <x:v>待完成</x:v>
      </x:c>
      <x:c r="J62" s="34" t="str">
        <x:v>保留原功能拆分，补真实原文摘录、来源级别及证据范围；本次不新增验收通过结论。
原表状态：待完成。</x:v>
      </x:c>
      <x:c r="K62" s="34" t="str">
        <x:v>待团队确认：人力、依赖、范围、节假日与剩余工作量。原日期/人日仅保留讨论。</x:v>
      </x:c>
    </x:row>
    <x:row r="63" ht="46" customHeight="1">
      <x:c r="A63" s="34" t="str">
        <x:v>FUN-066</x:v>
      </x:c>
      <x:c r="B63" s="34" t="str">
        <x:v>原文要求（功能拆分）</x:v>
      </x:c>
      <x:c r="C63" s="34" t="str">
        <x:v>MON-003；MON-007</x:v>
      </x:c>
      <x:c r="D63" s="34" t="str">
        <x:v>MON-003 [MUST] Alertmanager 必须配置 Grouping、Deduplication、Inhibition、Silence、Routing 和 Retry
MON-007 [SHOULD] 支持 Maintenance Window 与 Alert Suppression，但仍保留原始事件和抑制原因</x:v>
      </x:c>
      <x:c r="E63" s="34" t="str">
        <x:v>原表“当前系统已经有的”记录：有告警规则和路由配置
本次未取得此项新的代码/运行验收证据。</x:v>
      </x:c>
      <x:c r="F63" s="34" t="str">
        <x:v>仅保留历史判断供复核，不作为当前实现已通过的证明。</x:v>
      </x:c>
      <x:c r="G63" s="34" t="str">
        <x:v>未执行运行场景，未审计全部实现；状态沿用原表工作判断。原文映射仅表示相关，不代表覆盖整条需求。</x:v>
      </x:c>
      <x:c r="H63" s="34" t="str">
        <x:v>维护期不误通知且原始告警可追查
留证：环境/版本、前置配置、输入、实际与预期、截图或脱敏接口响应、测试人及时间。</x:v>
      </x:c>
      <x:c r="I63" s="34" t="str">
        <x:v>部分完成</x:v>
      </x:c>
      <x:c r="J63" s="34" t="str">
        <x:v>原验收偏重维护期静默，补回 MON-003 完整行为。
原表状态：部分完成。</x:v>
      </x:c>
      <x:c r="K63" s="34" t="str">
        <x:v>待团队确认：人力、依赖、范围、节假日与剩余工作量。原日期/人日仅保留讨论。</x:v>
      </x:c>
    </x:row>
    <x:row r="64" ht="46" customHeight="1">
      <x:c r="A64" s="34" t="str">
        <x:v>FUN-069</x:v>
      </x:c>
      <x:c r="B64" s="34" t="str">
        <x:v>原文要求（功能拆分）</x:v>
      </x:c>
      <x:c r="C64" s="34" t="str">
        <x:v>QA-001</x:v>
      </x:c>
      <x:c r="D64" s="34" t="str">
        <x:v>QA-001 [MUST] 支持 Random、Priority-based、New Agent、Complaint、Reopen 和 Risk-triggered Sampling Rule</x:v>
      </x:c>
      <x:c r="E64" s="34" t="str">
        <x:v>原表“当前系统已经有的”记录：现有运营健康分不是QA抽检
本次未取得此项新的代码/运行验收证据。</x:v>
      </x:c>
      <x:c r="F64" s="34" t="str">
        <x:v>仅保留历史判断供复核，不作为当前实现已通过的证明。</x:v>
      </x:c>
      <x:c r="G64" s="34" t="str">
        <x:v>未执行运行场景，未审计全部实现；状态沿用原表工作判断。原文映射仅表示相关，不代表覆盖整条需求。</x:v>
      </x:c>
      <x:c r="H64" s="34" t="str">
        <x:v>各规则能生成去重待评审工单
留证：环境/版本、前置配置、输入、实际与预期、截图或脱敏接口响应、测试人及时间。</x:v>
      </x:c>
      <x:c r="I64" s="34" t="str">
        <x:v>待完成</x:v>
      </x:c>
      <x:c r="J64" s="34" t="str">
        <x:v>保留原功能拆分，补真实原文摘录、来源级别及证据范围；本次不新增验收通过结论。
原表状态：待完成。</x:v>
      </x:c>
      <x:c r="K64" s="34" t="str">
        <x:v>待团队确认：人力、依赖、范围、节假日与剩余工作量。原日期/人日仅保留讨论。</x:v>
      </x:c>
    </x:row>
    <x:row r="65" ht="52" customHeight="1">
      <x:c r="A65" s="34" t="str">
        <x:v>FUN-078</x:v>
      </x:c>
      <x:c r="B65" s="34" t="str">
        <x:v>原文要求（功能拆分）</x:v>
      </x:c>
      <x:c r="C65" s="34" t="str">
        <x:v>RPT-004；RPT-005</x:v>
      </x:c>
      <x:c r="D65" s="34" t="str">
        <x:v>RPT-004 [MUST] Usage Evidence 至少记录按 Project、Channel、Priority 的 Ticket、Email、Manual Call、Alert-to-ticket、Active Agent、SLA Volume 和 Surge/Overage Evidence
RPT-005 [MUST] Usage Evidence 仅提供数量、时长和证据，不包含 Price、Rate、Invoice 或 Billing Logic</x:v>
      </x:c>
      <x:c r="E65" s="34" t="str">
        <x:v>原表“当前系统已经有的”记录：有工单统计与模型用量基础
本次未取得此项新的代码/运行验收证据。</x:v>
      </x:c>
      <x:c r="F65" s="34" t="str">
        <x:v>仅保留历史判断供复核，不作为当前实现已通过的证明。</x:v>
      </x:c>
      <x:c r="G65" s="34" t="str">
        <x:v>未执行运行场景，未审计全部实现；状态沿用原表工作判断。原文映射仅表示相关，不代表覆盖整条需求。</x:v>
      </x:c>
      <x:c r="H65" s="34" t="str">
        <x:v>按企业/渠道/优先级查数量、时长和依据
留证：环境/版本、前置配置、输入、实际与预期、截图或脱敏接口响应、测试人及时间。</x:v>
      </x:c>
      <x:c r="I65" s="34" t="str">
        <x:v>部分完成</x:v>
      </x:c>
      <x:c r="J65" s="34" t="str">
        <x:v>补回 RPT-005 明确禁止计费逻辑的范围边界。
原表状态：部分完成。</x:v>
      </x:c>
      <x:c r="K65" s="34" t="str">
        <x:v>待团队确认：人力、依赖、范围、节假日与剩余工作量。原日期/人日仅保留讨论。</x:v>
      </x:c>
    </x:row>
    <x:row r="66" ht="66" customHeight="1">
      <x:c r="A66" s="34" t="str">
        <x:v>FUN-079</x:v>
      </x:c>
      <x:c r="B66" s="34" t="str">
        <x:v>原文要求（功能拆分）</x:v>
      </x:c>
      <x:c r="C66" s="34" t="str">
        <x:v>RPT-001；RPT-007；EVT-003；EVT-007</x:v>
      </x:c>
      <x:c r="D66" s="34" t="str">
        <x:v>RPT-001 [MUST] Reporting Mart 必须从 Canonical Event 和已核验 GLPI 数据生成，不直接以 Dashboard Snapshot 作为事实
RPT-007 [MUST] 报表总量必须与 GLPI、Ops Core Event 和 Usage Fact 完成自动 Reconciliation
EVT-003 [MUST] 当前 Ticket、Clock、Dependency、Usage 和 Reporting 状态必须从事件生成 Projection，并可从事件重建
EVT-007 [MUST] Reconciliation 发现差异时必须记录差异类型、来源、修复动作和审计证据，不得静默覆盖</x:v>
      </x:c>
      <x:c r="E66" s="34" t="str">
        <x:v>原表“当前系统已经有的”记录：有服务结果事实和业务表统计
本次未取得此项新的代码/运行验收证据。</x:v>
      </x:c>
      <x:c r="F66" s="34" t="str">
        <x:v>仅保留历史判断供复核，不作为当前实现已通过的证明。</x:v>
      </x:c>
      <x:c r="G66" s="34" t="str">
        <x:v>未执行运行场景，未审计全部实现；状态沿用原表工作判断。原文映射仅表示相关，不代表覆盖整条需求。</x:v>
      </x:c>
      <x:c r="H66" s="34" t="str">
        <x:v>点查总量能定位来源，重算同周期结果一致
留证：环境/版本、前置配置、输入、实际与预期、截图或脱敏接口响应、测试人及时间。</x:v>
      </x:c>
      <x:c r="I66" s="34" t="str">
        <x:v>部分完成</x:v>
      </x:c>
      <x:c r="J66" s="34" t="str">
        <x:v>补事件重建和对账差异处理依据，但不代表全部 EVT 需求已覆盖。
原表状态：部分完成。</x:v>
      </x:c>
      <x:c r="K66" s="34" t="str">
        <x:v>待团队确认：人力、依赖、范围、节假日与剩余工作量。原日期/人日仅保留讨论。</x:v>
      </x:c>
    </x:row>
    <x:row r="67" ht="46" customHeight="1">
      <x:c r="A67" s="34" t="str">
        <x:v>FUN-068</x:v>
      </x:c>
      <x:c r="B67" s="34" t="str">
        <x:v>原文要求（功能拆分）</x:v>
      </x:c>
      <x:c r="C67" s="34" t="str">
        <x:v>MON-005</x:v>
      </x:c>
      <x:c r="D67" s="34" t="str">
        <x:v>MON-005 [MUST] 平台只监控可合法获取的指标、日志、Health Endpoint 和状态；缺少 Instrumentation 时标记 Coverage Gap</x:v>
      </x:c>
      <x:c r="E67" s="34" t="str">
        <x:v>原表“当前系统已经有的”记录：现有服务健康卡不等于完整覆盖清单
本次未取得此项新的代码/运行验收证据。</x:v>
      </x:c>
      <x:c r="F67" s="34" t="str">
        <x:v>仅保留历史判断供复核，不作为当前实现已通过的证明。</x:v>
      </x:c>
      <x:c r="G67" s="34" t="str">
        <x:v>未执行运行场景，未审计全部实现；状态沿用原表工作判断。原文映射仅表示相关，不代表覆盖整条需求。</x:v>
      </x:c>
      <x:c r="H67" s="34" t="str">
        <x:v>管理员能区分服务正常与没有监控数据
留证：环境/版本、前置配置、输入、实际与预期、截图或脱敏接口响应、测试人及时间。</x:v>
      </x:c>
      <x:c r="I67" s="34" t="str">
        <x:v>待完成</x:v>
      </x:c>
      <x:c r="J67" s="34" t="str">
        <x:v>保留原功能拆分，补真实原文摘录、来源级别及证据范围；本次不新增验收通过结论。
原表状态：待完成。</x:v>
      </x:c>
      <x:c r="K67" s="34" t="str">
        <x:v>待团队确认：人力、依赖、范围、节假日与剩余工作量。原日期/人日仅保留讨论。</x:v>
      </x:c>
    </x:row>
    <x:row r="68" ht="46" customHeight="1">
      <x:c r="A68" s="34" t="str">
        <x:v>FUN-070</x:v>
      </x:c>
      <x:c r="B68" s="34" t="str">
        <x:v>原文要求（功能拆分）</x:v>
      </x:c>
      <x:c r="C68" s="34" t="str">
        <x:v>QA-002</x:v>
      </x:c>
      <x:c r="D68" s="34" t="str">
        <x:v>QA-002 [MUST] Scorecard 必须 Versioned，至少覆盖身份核验、信息完整性、分类、优先级、沟通、数据保护、路由、跟进和关闭</x:v>
      </x:c>
      <x:c r="E68" s="34" t="str">
        <x:v>原表“当前系统已经有的”记录：未找到完整QA评分卡
本次未取得此项新的代码/运行验收证据。</x:v>
      </x:c>
      <x:c r="F68" s="34" t="str">
        <x:v>仅保留历史判断供复核，不作为当前实现已通过的证明。</x:v>
      </x:c>
      <x:c r="G68" s="34" t="str">
        <x:v>未执行运行场景，未审计全部实现；状态沿用原表工作判断。原文映射仅表示相关，不代表覆盖整条需求。</x:v>
      </x:c>
      <x:c r="H68" s="34" t="str">
        <x:v>评审记录保留当时评分卡版本
留证：环境/版本、前置配置、输入、实际与预期、截图或脱敏接口响应、测试人及时间。</x:v>
      </x:c>
      <x:c r="I68" s="34" t="str">
        <x:v>待完成</x:v>
      </x:c>
      <x:c r="J68" s="34" t="str">
        <x:v>保留原功能拆分，补真实原文摘录、来源级别及证据范围；本次不新增验收通过结论。
原表状态：待完成。</x:v>
      </x:c>
      <x:c r="K68" s="34" t="str">
        <x:v>待团队确认：人力、依赖、范围、节假日与剩余工作量。原日期/人日仅保留讨论。</x:v>
      </x:c>
    </x:row>
    <x:row r="69" ht="46" customHeight="1">
      <x:c r="A69" s="34" t="str">
        <x:v>FUN-071</x:v>
      </x:c>
      <x:c r="B69" s="34" t="str">
        <x:v>原文要求（功能拆分）</x:v>
      </x:c>
      <x:c r="C69" s="34" t="str">
        <x:v>QA-003</x:v>
      </x:c>
      <x:c r="D69" s="34" t="str">
        <x:v>QA-003 [MUST] Review 记录 Score、Defect Code、Evidence、Reviewer、Dispute、Outcome 和 Coaching Action</x:v>
      </x:c>
      <x:c r="E69" s="34" t="str">
        <x:v>原表“当前系统已经有的”记录：未找到独立工单QA评审流程
本次未取得此项新的代码/运行验收证据。</x:v>
      </x:c>
      <x:c r="F69" s="34" t="str">
        <x:v>仅保留历史判断供复核，不作为当前实现已通过的证明。</x:v>
      </x:c>
      <x:c r="G69" s="34" t="str">
        <x:v>未执行运行场景，未审计全部实现；状态沿用原表工作判断。原文映射仅表示相关，不代表覆盖整条需求。</x:v>
      </x:c>
      <x:c r="H69" s="34" t="str">
        <x:v>每个扣分项可查证据与审核人
留证：环境/版本、前置配置、输入、实际与预期、截图或脱敏接口响应、测试人及时间。</x:v>
      </x:c>
      <x:c r="I69" s="34" t="str">
        <x:v>待完成</x:v>
      </x:c>
      <x:c r="J69" s="34" t="str">
        <x:v>保留原功能拆分，补真实原文摘录、来源级别及证据范围；本次不新增验收通过结论。
原表状态：待完成。</x:v>
      </x:c>
      <x:c r="K69" s="34" t="str">
        <x:v>待团队确认：人力、依赖、范围、节假日与剩余工作量。原日期/人日仅保留讨论。</x:v>
      </x:c>
    </x:row>
    <x:row r="70" ht="46" customHeight="1">
      <x:c r="A70" s="34" t="str">
        <x:v>FUN-072</x:v>
      </x:c>
      <x:c r="B70" s="34" t="str">
        <x:v>原文要求（功能拆分）</x:v>
      </x:c>
      <x:c r="C70" s="34" t="str">
        <x:v>QA-003</x:v>
      </x:c>
      <x:c r="D70" s="34" t="str">
        <x:v>QA-003 [MUST] Review 记录 Score、Defect Code、Evidence、Reviewer、Dispute、Outcome 和 Coaching Action</x:v>
      </x:c>
      <x:c r="E70" s="34" t="str">
        <x:v>原表“当前系统已经有的”记录：未找到申诉辅导闭环
本次未取得此项新的代码/运行验收证据。</x:v>
      </x:c>
      <x:c r="F70" s="34" t="str">
        <x:v>仅保留历史判断供复核，不作为当前实现已通过的证明。</x:v>
      </x:c>
      <x:c r="G70" s="34" t="str">
        <x:v>未执行运行场景，未审计全部实现；状态沿用原表工作判断。原文映射仅表示相关，不代表覆盖整条需求。</x:v>
      </x:c>
      <x:c r="H70" s="34" t="str">
        <x:v>评审结果可申诉并跟踪整改关闭
留证：环境/版本、前置配置、输入、实际与预期、截图或脱敏接口响应、测试人及时间。</x:v>
      </x:c>
      <x:c r="I70" s="34" t="str">
        <x:v>待完成</x:v>
      </x:c>
      <x:c r="J70" s="34" t="str">
        <x:v>保留原功能拆分，补真实原文摘录、来源级别及证据范围；本次不新增验收通过结论。
原表状态：待完成。</x:v>
      </x:c>
      <x:c r="K70" s="34" t="str">
        <x:v>待团队确认：人力、依赖、范围、节假日与剩余工作量。原日期/人日仅保留讨论。</x:v>
      </x:c>
    </x:row>
    <x:row r="71" ht="46" customHeight="1">
      <x:c r="A71" s="34" t="str">
        <x:v>FUN-073</x:v>
      </x:c>
      <x:c r="B71" s="34" t="str">
        <x:v>原文要求（功能拆分）</x:v>
      </x:c>
      <x:c r="C71" s="34" t="str">
        <x:v>QA-004</x:v>
      </x:c>
      <x:c r="D71" s="34" t="str">
        <x:v>QA-004 [MUST] QA 结果必须支持按 Project、Team、Agent、Category、Channel 和 Period 分析，同时限制不必要的人员可见性</x:v>
      </x:c>
      <x:c r="E71" s="34" t="str">
        <x:v>原表“当前系统已经有的”记录：当前团队服务指标不能替代QA评分分析
本次未取得此项新的代码/运行验收证据。</x:v>
      </x:c>
      <x:c r="F71" s="34" t="str">
        <x:v>仅保留历史判断供复核，不作为当前实现已通过的证明。</x:v>
      </x:c>
      <x:c r="G71" s="34" t="str">
        <x:v>未执行运行场景，未审计全部实现；状态沿用原表工作判断。原文映射仅表示相关，不代表覆盖整条需求。</x:v>
      </x:c>
      <x:c r="H71" s="34" t="str">
        <x:v>按企业/团队/人员/渠道/周期查看授权结果
留证：环境/版本、前置配置、输入、实际与预期、截图或脱敏接口响应、测试人及时间。</x:v>
      </x:c>
      <x:c r="I71" s="34" t="str">
        <x:v>待完成</x:v>
      </x:c>
      <x:c r="J71" s="34" t="str">
        <x:v>保留原功能拆分，补真实原文摘录、来源级别及证据范围；本次不新增验收通过结论。
原表状态：待完成。</x:v>
      </x:c>
      <x:c r="K71" s="34" t="str">
        <x:v>待团队确认：人力、依赖、范围、节假日与剩余工作量。原日期/人日仅保留讨论。</x:v>
      </x:c>
    </x:row>
    <x:row r="72" ht="46" customHeight="1">
      <x:c r="A72" s="34" t="str">
        <x:v>FUN-074</x:v>
      </x:c>
      <x:c r="B72" s="34" t="str">
        <x:v>原文要求（功能拆分）</x:v>
      </x:c>
      <x:c r="C72" s="34" t="str">
        <x:v>QA-006</x:v>
      </x:c>
      <x:c r="D72" s="34" t="str">
        <x:v>QA-006 [SHOULD] 严重 Data Protection 或安全缺陷应触发独立 Incident/Investigation Workflow</x:v>
      </x:c>
      <x:c r="E72" s="34" t="str">
        <x:v>原表“当前系统已经有的”记录：未找到QA触发独立调查流程
本次未取得此项新的代码/运行验收证据。</x:v>
      </x:c>
      <x:c r="F72" s="34" t="str">
        <x:v>仅保留历史判断供复核，不作为当前实现已通过的证明。</x:v>
      </x:c>
      <x:c r="G72" s="34" t="str">
        <x:v>未执行运行场景，未审计全部实现；状态沿用原表工作判断。原文映射仅表示相关，不代表覆盖整条需求。</x:v>
      </x:c>
      <x:c r="H72" s="34" t="str">
        <x:v>触发后有独立负责人、证据和处理记录
留证：环境/版本、前置配置、输入、实际与预期、截图或脱敏接口响应、测试人及时间。</x:v>
      </x:c>
      <x:c r="I72" s="34" t="str">
        <x:v>待完成</x:v>
      </x:c>
      <x:c r="J72" s="34" t="str">
        <x:v>QA-006 原文级别为 SHOULD，不因本表排期优先级改写为 MUST。
原表状态：待完成。</x:v>
      </x:c>
      <x:c r="K72" s="34" t="str">
        <x:v>待团队确认：人力、依赖、范围、节假日与剩余工作量。原日期/人日仅保留讨论。</x:v>
      </x:c>
    </x:row>
    <x:row r="73" ht="164" customHeight="1">
      <x:c r="A73" s="34" t="str">
        <x:v>FUN-076</x:v>
      </x:c>
      <x:c r="B73" s="34" t="str">
        <x:v>原文要求（功能拆分）</x:v>
      </x:c>
      <x:c r="C73" s="34" t="str">
        <x:v>RPT-002；§9.5；§附录B</x:v>
      </x:c>
      <x:c r="D73" s="34" t="str">
        <x:v>RPT-002 [MUST] Monthly Service Report 至少包含 Demand、Channel、Priority、Target、Dependency、Backlog、Quality、Trend、Capacity 和 Action
§9.5 [设计章节（非需求编号）] 冻结 Reporting Cutoff 和 Watermark。 对账 GLPI、Canonical Event、Usage Fact 和 Monitoring Aggregate。 记录 Exception 和未决数据质量问题。 生成 PDF、XLSX、CSV 及 Checksums。 Lead/Service Owner 审核并批准。 通过批准渠道交付，保存 Artifact Version 和 Delivery Evidence。 后续更正生成新版本并保留原版本，不覆盖历史。
§附录B [设计章节（非需求编号）] 标准 Monthly Service Report 建议包括： Executive Summary 与本月需要决策事项。 Demand、Channel、Language、Priority 和 Contact Trend。 Acknowledgement、First Response、Update、Restore、Resolve 及 Breach。 End-to-end 与 DayPop Accountable 时间分解。 External Expert OLA、Dependency Aging 和 Restricted Support。 Backlog、Reopen、Duplicate、Known Error 和 Problem Trend。 QA Sample、Defect、Coaching 和 Knowledge Improvement。 Monitoring Alert、Incident Correlation、Coverage Gap。 Capacity、Surge/Overage Evidence 和 Scale Recommendation。 Risk、Action、Owner 和 Due Date。</x:v>
      </x:c>
      <x:c r="E73" s="34" t="str">
        <x:v>原表“当前系统已经有的”记录：有工单、团队、供应商和趋势统计
本次未取得此项新的代码/运行验收证据。</x:v>
      </x:c>
      <x:c r="F73" s="34" t="str">
        <x:v>仅保留历史判断供复核，不作为当前实现已通过的证明。</x:v>
      </x:c>
      <x:c r="G73" s="34" t="str">
        <x:v>未执行运行场景，未审计全部实现；状态沿用原表工作判断。原文映射仅表示相关，不代表覆盖整条需求。</x:v>
      </x:c>
      <x:c r="H73" s="34" t="str">
        <x:v>一份月报覆盖文档要求的业务主题
留证：环境/版本、前置配置、输入、实际与预期、截图或脱敏接口响应、测试人及时间。</x:v>
      </x:c>
      <x:c r="I73" s="34" t="str">
        <x:v>部分完成</x:v>
      </x:c>
      <x:c r="J73" s="34" t="str">
        <x:v>DES-012 替换为第 9.5 节和附录 B；月报内容、流程和原文编号分开记录。
原表状态：部分完成。</x:v>
      </x:c>
      <x:c r="K73" s="34" t="str">
        <x:v>待团队确认：人力、依赖、范围、节假日与剩余工作量。原日期/人日仅保留讨论。</x:v>
      </x:c>
    </x:row>
    <x:row r="74" ht="46" customHeight="1">
      <x:c r="A74" s="34" t="str">
        <x:v>FUN-077</x:v>
      </x:c>
      <x:c r="B74" s="34" t="str">
        <x:v>原文要求（功能拆分）</x:v>
      </x:c>
      <x:c r="C74" s="34" t="str">
        <x:v>RPT-003</x:v>
      </x:c>
      <x:c r="D74" s="34" t="str">
        <x:v>RPT-003 [MUST] Reporting Service 通过 WeasyPrint 和 XlsxWriter 生成 PDF、XLSX 和 CSV，模板必须 Versioned</x:v>
      </x:c>
      <x:c r="E74" s="34" t="str">
        <x:v>原表“当前系统已经有的”记录：企业报表导出目前只支持CSV
本次未取得此项新的代码/运行验收证据。</x:v>
      </x:c>
      <x:c r="F74" s="34" t="str">
        <x:v>仅保留历史判断供复核，不作为当前实现已通过的证明。</x:v>
      </x:c>
      <x:c r="G74" s="34" t="str">
        <x:v>未执行运行场景，未审计全部实现；状态沿用原表工作判断。原文映射仅表示相关，不代表覆盖整条需求。</x:v>
      </x:c>
      <x:c r="H74" s="34" t="str">
        <x:v>三种导出可打开且业务数字一致
留证：环境/版本、前置配置、输入、实际与预期、截图或脱敏接口响应、测试人及时间。</x:v>
      </x:c>
      <x:c r="I74" s="34" t="str">
        <x:v>部分完成</x:v>
      </x:c>
      <x:c r="J74" s="34" t="str">
        <x:v>功能格式相同不代表满足原文组件选型，补技术路线待确认项。
原表状态：部分完成。</x:v>
      </x:c>
      <x:c r="K74" s="34" t="str">
        <x:v>待团队确认：人力、依赖、范围、节假日与剩余工作量。原日期/人日仅保留讨论。</x:v>
      </x:c>
    </x:row>
    <x:row r="75" ht="52" customHeight="1">
      <x:c r="A75" s="34" t="str">
        <x:v>FUN-084</x:v>
      </x:c>
      <x:c r="B75" s="34" t="str">
        <x:v>原文要求（功能拆分）</x:v>
      </x:c>
      <x:c r="C75" s="34" t="str">
        <x:v>TKT-007；SEC-003</x:v>
      </x:c>
      <x:c r="D75" s="34" t="str">
        <x:v>TKT-007 [MUST] 所有入站附件必须先由 ClamAV 扫描；命中、超限、解压异常或扫描失败均进入 Quarantine
SEC-003 [MUST] Attachment 强制扫描、类型/大小/压缩限制和 Quarantine；Scanner Failure 采用 Fail Closed</x:v>
      </x:c>
      <x:c r="E75" s="34" t="str">
        <x:v>D:/work/helpdesk/internal/services/asset_upload_security.go:89
D:/work/helpdesk/internal/services/asset_upload_security.go:91</x:v>
      </x:c>
      <x:c r="F75" s="34" t="str">
        <x:v>已核查上传安全服务：ClamAV 为配置开关，扫描错误是否拒绝也受 FailClosed 配置控制；未验证运行配置与隔离区。</x:v>
      </x:c>
      <x:c r="G75" s="34" t="str">
        <x:v>已核查配置分支，未读取在线配置、运行真实病毒扫描或验证隔离区。</x:v>
      </x:c>
      <x:c r="H75" s="34" t="str">
        <x:v>未通过扫描不可访问；命中、超限、解压异常及扫描失败均有隔离记录与授权处置，不只是返回上传错误。
留证：环境/版本、前置配置、输入、实际与预期、截图或脱敏接口响应、测试人及时间。</x:v>
      </x:c>
      <x:c r="I75" s="34" t="str">
        <x:v>部分完成</x:v>
      </x:c>
      <x:c r="J75" s="34" t="str">
        <x:v>原文要求的隔离场景不只危险文件；可选扫描不能视为强制扫描已实现。
原表状态：部分完成。</x:v>
      </x:c>
      <x:c r="K75" s="34" t="str">
        <x:v>待团队确认：人力、依赖、范围、节假日与剩余工作量。原日期/人日仅保留讨论。</x:v>
      </x:c>
    </x:row>
    <x:row r="76" ht="46" customHeight="1">
      <x:c r="A76" s="34" t="str">
        <x:v>FUN-080</x:v>
      </x:c>
      <x:c r="B76" s="34" t="str">
        <x:v>原文要求（功能拆分）</x:v>
      </x:c>
      <x:c r="C76" s="34" t="str">
        <x:v>RPT-006</x:v>
      </x:c>
      <x:c r="D76" s="34" t="str">
        <x:v>RPT-006 [MUST] 报表必须记录 Period、Timezone、Data Cutoff、Watermark、Template Version、Query Version、Checksum 和 Rerun Reason</x:v>
      </x:c>
      <x:c r="E76" s="34" t="str">
        <x:v>原表“当前系统已经有的”记录：未找到完整报告版本制品流程
本次未取得此项新的代码/运行验收证据。</x:v>
      </x:c>
      <x:c r="F76" s="34" t="str">
        <x:v>仅保留历史判断供复核，不作为当前实现已通过的证明。</x:v>
      </x:c>
      <x:c r="G76" s="34" t="str">
        <x:v>未执行运行场景，未审计全部实现；状态沿用原表工作判断。原文映射仅表示相关，不代表覆盖整条需求。</x:v>
      </x:c>
      <x:c r="H76" s="34" t="str">
        <x:v>更正生成新版本，旧报告不被覆盖
留证：环境/版本、前置配置、输入、实际与预期、截图或脱敏接口响应、测试人及时间。</x:v>
      </x:c>
      <x:c r="I76" s="34" t="str">
        <x:v>待完成</x:v>
      </x:c>
      <x:c r="J76" s="34" t="str">
        <x:v>保留原功能拆分，补真实原文摘录、来源级别及证据范围；本次不新增验收通过结论。
原表状态：待完成。</x:v>
      </x:c>
      <x:c r="K76" s="34" t="str">
        <x:v>待团队确认：人力、依赖、范围、节假日与剩余工作量。原日期/人日仅保留讨论。</x:v>
      </x:c>
    </x:row>
    <x:row r="77" ht="80" customHeight="1">
      <x:c r="A77" s="34" t="str">
        <x:v>FUN-081</x:v>
      </x:c>
      <x:c r="B77" s="34" t="str">
        <x:v>原文要求（功能拆分）</x:v>
      </x:c>
      <x:c r="C77" s="34" t="str">
        <x:v>§9.5；RPT-006</x:v>
      </x:c>
      <x:c r="D77" s="34" t="str">
        <x:v>§9.5 [设计章节（非需求编号）] 冻结 Reporting Cutoff 和 Watermark。 对账 GLPI、Canonical Event、Usage Fact 和 Monitoring Aggregate。 记录 Exception 和未决数据质量问题。 生成 PDF、XLSX、CSV 及 Checksums。 Lead/Service Owner 审核并批准。 通过批准渠道交付，保存 Artifact Version 和 Delivery Evidence。 后续更正生成新版本并保留原版本，不覆盖历史。
RPT-006 [MUST] 报表必须记录 Period、Timezone、Data Cutoff、Watermark、Template Version、Query Version、Checksum 和 Rerun Reason</x:v>
      </x:c>
      <x:c r="E77" s="34" t="str">
        <x:v>原表“当前系统已经有的”记录：当前导出不能证明完整审核交付流程
本次未取得此项新的代码/运行验收证据。</x:v>
      </x:c>
      <x:c r="F77" s="34" t="str">
        <x:v>仅保留历史判断供复核，不作为当前实现已通过的证明。</x:v>
      </x:c>
      <x:c r="G77" s="34" t="str">
        <x:v>未执行运行场景，未审计全部实现；状态沿用原表工作判断。原文映射仅表示相关，不代表覆盖整条需求。</x:v>
      </x:c>
      <x:c r="H77" s="34" t="str">
        <x:v>批准后交付且能查接收记录和历史版本
留证：环境/版本、前置配置、输入、实际与预期、截图或脱敏接口响应、测试人及时间。</x:v>
      </x:c>
      <x:c r="I77" s="34" t="str">
        <x:v>待完成</x:v>
      </x:c>
      <x:c r="J77" s="34" t="str">
        <x:v>DES-012 替换为第 9.5 节，保留批准、交付证据和更正不覆盖历史。
原表状态：待完成。</x:v>
      </x:c>
      <x:c r="K77" s="34" t="str">
        <x:v>待团队确认：人力、依赖、范围、节假日与剩余工作量。原日期/人日仅保留讨论。</x:v>
      </x:c>
    </x:row>
    <x:row r="78" ht="46" customHeight="1">
      <x:c r="A78" s="34" t="str">
        <x:v>FUN-082</x:v>
      </x:c>
      <x:c r="B78" s="34" t="str">
        <x:v>原文要求（功能拆分）</x:v>
      </x:c>
      <x:c r="C78" s="34" t="str">
        <x:v>RPT-008</x:v>
      </x:c>
      <x:c r="D78" s="34" t="str">
        <x:v>RPT-008 [SHOULD] 允许批准用户创建 Ad hoc CSV Extract，但必须受 Field Allowlist、Project Scope 和 Audit 控制</x:v>
      </x:c>
      <x:c r="E78" s="34" t="str">
        <x:v>原表“当前系统已经有的”记录：已有CSV和审计导出权限
本次未取得此项新的代码/运行验收证据。</x:v>
      </x:c>
      <x:c r="F78" s="34" t="str">
        <x:v>仅保留历史判断供复核，不作为当前实现已通过的证明。</x:v>
      </x:c>
      <x:c r="G78" s="34" t="str">
        <x:v>未执行运行场景，未审计全部实现；状态沿用原表工作判断。原文映射仅表示相关，不代表覆盖整条需求。</x:v>
      </x:c>
      <x:c r="H78" s="34" t="str">
        <x:v>无权限字段不能导出，导出可追溯
留证：环境/版本、前置配置、输入、实际与预期、截图或脱敏接口响应、测试人及时间。</x:v>
      </x:c>
      <x:c r="I78" s="34" t="str">
        <x:v>部分完成</x:v>
      </x:c>
      <x:c r="J78" s="34" t="str">
        <x:v>保留原功能拆分，补真实原文摘录、来源级别及证据范围；本次不新增验收通过结论。
原表状态：部分完成。</x:v>
      </x:c>
      <x:c r="K78" s="34" t="str">
        <x:v>待团队确认：人力、依赖、范围、节假日与剩余工作量。原日期/人日仅保留讨论。</x:v>
      </x:c>
    </x:row>
    <x:row r="79" ht="52" customHeight="1">
      <x:c r="A79" s="34" t="str">
        <x:v>FUN-086</x:v>
      </x:c>
      <x:c r="B79" s="34" t="str">
        <x:v>原文要求（功能拆分）</x:v>
      </x:c>
      <x:c r="C79" s="34" t="str">
        <x:v>DAT-001；DAT-003</x:v>
      </x:c>
      <x:c r="D79" s="34" t="str">
        <x:v>DAT-001 [MUST] 每项目在 Production 前批准 Retention Policy-as-Code，分别覆盖 Ticket、Attachment、Event、Audit、Metric、Log、Report 和 Backup
DAT-003 [MUST] 到期删除必须可审计、可重试，并验证主存储、索引、缓存和后续 Backup Expiry</x:v>
      </x:c>
      <x:c r="E79" s="34" t="str">
        <x:v>原表“当前系统已经有的”记录：已有保留和删除服务
本次未取得此项新的代码/运行验收证据。</x:v>
      </x:c>
      <x:c r="F79" s="34" t="str">
        <x:v>仅保留历史判断供复核，不作为当前实现已通过的证明。</x:v>
      </x:c>
      <x:c r="G79" s="34" t="str">
        <x:v>未执行运行场景，未审计全部实现；状态沿用原表工作判断。原文映射仅表示相关，不代表覆盖整条需求。</x:v>
      </x:c>
      <x:c r="H79" s="34" t="str">
        <x:v>到期清理可重试，未到期不误删
留证：环境/版本、前置配置、输入、实际与预期、截图或脱敏接口响应、测试人及时间。</x:v>
      </x:c>
      <x:c r="I79" s="34" t="str">
        <x:v>部分完成</x:v>
      </x:c>
      <x:c r="J79" s="34" t="str">
        <x:v>补回 DAT-001/003 的全数据类别与副本处理，不能仅验业务表删除。
原表状态：部分完成。</x:v>
      </x:c>
      <x:c r="K79" s="34" t="str">
        <x:v>待团队确认：人力、依赖、范围、节假日与剩余工作量。原日期/人日仅保留讨论。</x:v>
      </x:c>
    </x:row>
    <x:row r="80" ht="52" customHeight="1">
      <x:c r="A80" s="34" t="str">
        <x:v>FUN-087</x:v>
      </x:c>
      <x:c r="B80" s="34" t="str">
        <x:v>原文要求（功能拆分）</x:v>
      </x:c>
      <x:c r="C80" s="34" t="str">
        <x:v>DAT-002</x:v>
      </x:c>
      <x:c r="D80" s="34" t="str">
        <x:v>DAT-002 [MUST] Legal Hold 必须阻止受影响记录自动删除，并记录 Scope、Approver、Reason、Start 和 Release</x:v>
      </x:c>
      <x:c r="E80" s="34" t="str">
        <x:v>原表“当前系统已经有的”记录：未找到完整Legal Hold功能
本次未取得此项新的代码/运行验收证据。</x:v>
      </x:c>
      <x:c r="F80" s="34" t="str">
        <x:v>仅保留历史判断供复核，不作为当前实现已通过的证明。</x:v>
      </x:c>
      <x:c r="G80" s="34" t="str">
        <x:v>未执行运行场景，未审计全部实现；状态沿用原表工作判断。原文映射仅表示相关，不代表覆盖整条需求。</x:v>
      </x:c>
      <x:c r="H80" s="34" t="str">
        <x:v>Legal Hold 范围、批准人、原因、开始/释放可查，受影响记录自动删除被阻止；人工删除限制作为实施控制另验。
留证：环境/版本、前置配置、输入、实际与预期、截图或脱敏接口响应、测试人及时间。</x:v>
      </x:c>
      <x:c r="I80" s="34" t="str">
        <x:v>待完成</x:v>
      </x:c>
      <x:c r="J80" s="34" t="str">
        <x:v>DAT-002 明示自动删除拦截；对人工删除的扩展控制需要单独确认，不伪装原文逐字要求。
原表状态：待完成。</x:v>
      </x:c>
      <x:c r="K80" s="34" t="str">
        <x:v>待团队确认：人力、依赖、范围、节假日与剩余工作量。原日期/人日仅保留讨论。</x:v>
      </x:c>
    </x:row>
    <x:row r="81" ht="150" customHeight="1">
      <x:c r="A81" s="34" t="str">
        <x:v>FUN-089</x:v>
      </x:c>
      <x:c r="B81" s="34" t="str">
        <x:v>原文要求（功能拆分）</x:v>
      </x:c>
      <x:c r="C81" s="34" t="str">
        <x:v>DAT-004；§18.6；§附录C</x:v>
      </x:c>
      <x:c r="D81" s="34" t="str">
        <x:v>DAT-004 [MUST] Exit Export 必须包含 Manifest、Data Dictionary 和 Checksums，并进行可读性验证
§18.6 [设计章节（非需求编号）] TP 应明确 Monthly Report 来源于可审计 Reporting Mart，并提供 PDF/XLSX/CSV。Exit Package 应定义 Ticket/Article Data、Attachment、Data Dictionary、Open Ticket、Historical Report、Manifest 和 Checksum；平台源码、配置模板、Dashboard、Automation 和 DayPop IP 不移交。
§附录C [设计章节（非需求编号）] Artifact | 格式 | 必须内容 Ticket Export | CSV 或 JSON | ID、Type、Status、Priority、Channel、Dates、Owner、Service、Component、Resolution、Relations Article Export | CSV 或 JSON | Article ID、Title、Version、Approval、Effective Period、Category Attachments | 原格式 | 稳定目录、Ticket Mapping、File Hash、Scan Status Open Ticket List | XLSX/CSV | Current Owner、Dependency、Clock、Next Action、Due Historical Reports | PDF/XLSX/CSV | 已交付批准版本 Data Dictionary | CSV/Markdown | 字段、类型、定义、分类、来源 Manifest | JSON/YAML | Artifact、Count、Size、Checksum、Cutoff、Generator Version Verification Record | PDF/Markdown | 生成、校验、例外、批准和交付证据</x:v>
      </x:c>
      <x:c r="E81" s="34" t="str">
        <x:v>原表“当前系统已经有的”记录：已有部分租户数据导出
本次未取得此项新的代码/运行验收证据。</x:v>
      </x:c>
      <x:c r="F81" s="34" t="str">
        <x:v>仅保留历史判断供复核，不作为当前实现已通过的证明。</x:v>
      </x:c>
      <x:c r="G81" s="34" t="str">
        <x:v>未执行运行场景，未审计全部实现；状态沿用原表工作判断。原文映射仅表示相关，不代表覆盖整条需求。</x:v>
      </x:c>
      <x:c r="H81" s="34" t="str">
        <x:v>客户可离线读取全部约定资料并核对完整性
留证：环境/版本、前置配置、输入、实际与预期、截图或脱敏接口响应、测试人及时间。</x:v>
      </x:c>
      <x:c r="I81" s="34" t="str">
        <x:v>部分完成</x:v>
      </x:c>
      <x:c r="J81" s="34" t="str">
        <x:v>DES-013 替换为第 18.6 节及附录 C，并补交接包知识产权排除边界。
原表状态：部分完成。</x:v>
      </x:c>
      <x:c r="K81" s="34" t="str">
        <x:v>待团队确认：人力、依赖、范围、节假日与剩余工作量。原日期/人日仅保留讨论。</x:v>
      </x:c>
    </x:row>
    <x:row r="82" ht="46" customHeight="1">
      <x:c r="A82" s="34" t="str">
        <x:v>FUN-088</x:v>
      </x:c>
      <x:c r="B82" s="34" t="str">
        <x:v>原文要求（功能拆分）</x:v>
      </x:c>
      <x:c r="C82" s="34" t="str">
        <x:v>DAT-006</x:v>
      </x:c>
      <x:c r="D82" s="34" t="str">
        <x:v>DAT-006 [SHOULD] 支持按 Subject Reference 检索和导出批准范围的数据，以配合合法 Data Subject Request</x:v>
      </x:c>
      <x:c r="E82" s="34" t="str">
        <x:v>原表“当前系统已经有的”记录：已有客户隐私和账号删除基础
本次未取得此项新的代码/运行验收证据。</x:v>
      </x:c>
      <x:c r="F82" s="34" t="str">
        <x:v>仅保留历史判断供复核，不作为当前实现已通过的证明。</x:v>
      </x:c>
      <x:c r="G82" s="34" t="str">
        <x:v>未执行运行场景，未审计全部实现；状态沿用原表工作判断。原文映射仅表示相关，不代表覆盖整条需求。</x:v>
      </x:c>
      <x:c r="H82" s="34" t="str">
        <x:v>导出仅包含该客户授权范围数据
留证：环境/版本、前置配置、输入、实际与预期、截图或脱敏接口响应、测试人及时间。</x:v>
      </x:c>
      <x:c r="I82" s="34" t="str">
        <x:v>部分完成</x:v>
      </x:c>
      <x:c r="J82" s="34" t="str">
        <x:v>保留原功能拆分，补真实原文摘录、来源级别及证据范围；本次不新增验收通过结论。
原表状态：部分完成。</x:v>
      </x:c>
      <x:c r="K82" s="34" t="str">
        <x:v>待团队确认：人力、依赖、范围、节假日与剩余工作量。原日期/人日仅保留讨论。</x:v>
      </x:c>
    </x:row>
    <x:row r="83" ht="52" customHeight="1">
      <x:c r="A83" s="34" t="str">
        <x:v>FUN-001</x:v>
      </x:c>
      <x:c r="B83" s="34" t="str">
        <x:v>系统适配（非独立原文要求）</x:v>
      </x:c>
      <x:c r="C83" s="34" t="str">
        <x:v>IAM-003</x:v>
      </x:c>
      <x:c r="D83" s="34" t="str">
        <x:v>IAM-003 [MUST] 采用 Project-scoped RBAC，至少区分 L1、Lead/QA、L2、L3、Project Admin、SRE、Auditor 和 Service Account</x:v>
      </x:c>
      <x:c r="E83" s="34" t="str">
        <x:v>原表“当前系统已经有的”记录：已创建本地演示企业、管理员并登录使用
本次未取得此项新的代码/运行验收证据。</x:v>
      </x:c>
      <x:c r="F83" s="34" t="str">
        <x:v>仅保留历史判断供复核，不作为当前实现已通过的证明。</x:v>
      </x:c>
      <x:c r="G83" s="34" t="str">
        <x:v>未执行运行场景，未审计全部实现；状态沿用原表工作判断。原文映射仅表示相关，不代表覆盖整条需求。</x:v>
      </x:c>
      <x:c r="H83" s="34" t="str">
        <x:v>管理员可登录本企业并管理业务
留证：环境/版本、前置配置、输入、实际与预期、截图或脱敏接口响应、测试人及时间。</x:v>
      </x:c>
      <x:c r="I83" s="34" t="str">
        <x:v>已完成</x:v>
      </x:c>
      <x:c r="J83" s="34" t="str">
        <x:v>删除错误的 FND-001 映射。企业管理员管理只是权限能力的一部分，不能证明项目自动部署或完整角色矩阵。
原表标为已完成，未附可复核运行证据，现标待复验；不是断言原功能失效。</x:v>
      </x:c>
      <x:c r="K83" s="34" t="str">
        <x:v>待排复验：原估 0 人日不是当前复验工时；取得证据后确定是否开发及安排日期。</x:v>
      </x:c>
    </x:row>
    <x:row r="84" ht="52" customHeight="1">
      <x:c r="A84" s="34" t="str">
        <x:v>FUN-002</x:v>
      </x:c>
      <x:c r="B84" s="34" t="str">
        <x:v>系统扩展与原文要求混合</x:v>
      </x:c>
      <x:c r="C84" s="34" t="str">
        <x:v>IAM-003；BR-004</x:v>
      </x:c>
      <x:c r="D84" s="34" t="str">
        <x:v>IAM-003 [MUST] 采用 Project-scoped RBAC，至少区分 L1、Lead/QA、L2、L3、Project Admin、SRE、Auditor 和 Service Account
BR-004 [支撑端到端运营责任] 所有已接受工单从受理到关闭均存在责任主体、状态、升级、依赖和用户更新记录</x:v>
      </x:c>
      <x:c r="E84" s="34" t="str">
        <x:v>原表“当前系统已经有的”记录：演示工程师与客户已创建并独立登录
本次未取得此项新的代码/运行验收证据。</x:v>
      </x:c>
      <x:c r="F84" s="34" t="str">
        <x:v>仅保留历史判断供复核，不作为当前实现已通过的证明。</x:v>
      </x:c>
      <x:c r="G84" s="34" t="str">
        <x:v>未执行运行场景，未审计全部实现；状态沿用原表工作判断。原文映射仅表示相关，不代表覆盖整条需求。</x:v>
      </x:c>
      <x:c r="H84" s="34" t="str">
        <x:v>三类账号各自正常登录
留证：环境/版本、前置配置、输入、实际与预期、截图或脱敏接口响应、测试人及时间。</x:v>
      </x:c>
      <x:c r="I84" s="34" t="str">
        <x:v>已完成</x:v>
      </x:c>
      <x:c r="J84" s="34" t="str">
        <x:v>工程师为当前系统角色，客户账号不属于原文 Agent 角色矩阵；须分别判断，不以三类账号登录代替 IAM 验收。
原表标为已完成，未附可复核运行证据，现标待复验；不是断言原功能失效。</x:v>
      </x:c>
      <x:c r="K84" s="34" t="str">
        <x:v>待排复验：原估 0 人日不是当前复验工时；取得证据后确定是否开发及安排日期。</x:v>
      </x:c>
    </x:row>
    <x:row r="85" ht="94" customHeight="1">
      <x:c r="A85" s="34" t="str">
        <x:v>FUN-009</x:v>
      </x:c>
      <x:c r="B85" s="34" t="str">
        <x:v>系统适配（事实源待决策）</x:v>
      </x:c>
      <x:c r="C85" s="34" t="str">
        <x:v>TKT-001；DCH-005；DCH-006</x:v>
      </x:c>
      <x:c r="D85" s="34" t="str">
        <x:v>TKT-001 [MUST] V1 必须支持 Email、Manual Phone、Monitoring Alert、REST API/Webhook、WhatsApp Conversation 和 Chatbot Handoff 六类来源，并保留原始 Channel 和 Source Record ID；未启用渠道不得暴露公网入口
DCH-005 [MUST] Human Handoff 必须创建或关联 GLPI User Case，并携带 Conversation ID、Message/Transcript Reference、Locale、已采集上下文、Attachment Reference、Bot Handoff Reason 和 Consent/Opt-out 状态
DCH-006 [MUST] Chatwoot 是消息与会话事实源，GLPI 是 User Case/Ticket 事实源，Ops Core 保存双向 ID Mapping、Canonical Event、Handoff 和 Reconciliation；不得在两个系统独立修改同一事实</x:v>
      </x:c>
      <x:c r="E85" s="34" t="str">
        <x:v>D:/work/helpdesk/internal/services/ticket_service.go:614</x:v>
      </x:c>
      <x:c r="F85" s="34" t="str">
        <x:v>已定位与本项有关的实现/测试入口；测试源码不等于本次执行结果。</x:v>
      </x:c>
      <x:c r="G85" s="34" t="str">
        <x:v>定位到自研转单函数，未逐分支审计，也未验证原文 Chatwoot/GLPI 合同与完整交接字段。</x:v>
      </x:c>
      <x:c r="H85" s="34" t="str">
        <x:v>现有转单流程可回归；原文验收还须验证完整交接字段、幂等、双向映射及事实源，不能只查工单创建。
留证：环境/版本、前置配置、输入、实际与预期、截图或脱敏接口响应、测试人及时间。</x:v>
      </x:c>
      <x:c r="I85" s="34" t="str">
        <x:v>已完成</x:v>
      </x:c>
      <x:c r="J85" s="34" t="str">
        <x:v>自研会话转单只是可复用基础，不等于原文 WhatsApp/Chatbot 到 GLPI 的完整交接。
原表标为已完成，未附可复核运行证据，现标待复验；不是断言原功能失效。</x:v>
      </x:c>
      <x:c r="K85" s="34" t="str">
        <x:v>待排复验：原估 0 人日不是当前复验工时；取得证据后确定是否开发及安排日期。</x:v>
      </x:c>
    </x:row>
    <x:row r="86" ht="80" customHeight="1">
      <x:c r="A86" s="34" t="str">
        <x:v>FUN-015</x:v>
      </x:c>
      <x:c r="B86" s="34" t="str">
        <x:v>系统适配（工程师派单）</x:v>
      </x:c>
      <x:c r="C86" s="34" t="str">
        <x:v>TKT-004；TKT-006；§9.1</x:v>
      </x:c>
      <x:c r="D86" s="34" t="str">
        <x:v>TKT-004 [MUST] 标准状态至少包括 New、Acknowledged、In Triage、Assigned、Waiting、Restored、Resolved、Closure Pending、Closed 和 Cancelled
TKT-006 [MUST] DayPop 在接受后始终保留 Case Administration Owner；技术责任组可以变化，但不得产生无 Owner 工单
§9.1 [设计章节（非需求编号）] Classify：确定 Object Type、Priority、Service、Component 和 Current Support Group。 Track：Ops Core 计算 DayPop Clock、Expert OLA、Update Cadence 和 Escalation。</x:v>
      </x:c>
      <x:c r="E86" s="34" t="str">
        <x:v>D:/work/helpdesk/internal/services/ticket_service.go:1216
D:/work/helpdesk/internal/services/ticket_dispatch_service_test.go:2521</x:v>
      </x:c>
      <x:c r="F86" s="34" t="str">
        <x:v>已定位与本项有关的实现/测试入口；测试源码不等于本次执行结果。</x:v>
      </x:c>
      <x:c r="G86" s="34" t="str">
        <x:v>定位到分配入口与范围测试源码，未执行当前派单流程。</x:v>
      </x:c>
      <x:c r="H86" s="34" t="str">
        <x:v>配置服务工程师后工单可分配
留证：环境/版本、前置配置、输入、实际与预期、截图或脱敏接口响应、测试人及时间。</x:v>
      </x:c>
      <x:c r="I86" s="34" t="str">
        <x:v>已完成</x:v>
      </x:c>
      <x:c r="J86" s="34" t="str">
        <x:v>工程师派单是当前实现方式；原文重点为责任组、状态和行政负责人持续存在。
原表标为已完成，未附可复核运行证据，现标待复验；不是断言原功能失效。</x:v>
      </x:c>
      <x:c r="K86" s="34" t="str">
        <x:v>待排复验：原估 0 人日不是当前复验工时；取得证据后确定是否开发及安排日期。</x:v>
      </x:c>
    </x:row>
    <x:row r="87" ht="80" customHeight="1">
      <x:c r="A87" s="34" t="str">
        <x:v>FUN-016</x:v>
      </x:c>
      <x:c r="B87" s="34" t="str">
        <x:v>系统适配（工程师接单）</x:v>
      </x:c>
      <x:c r="C87" s="34" t="str">
        <x:v>TKT-004；BR-004；§7.3</x:v>
      </x:c>
      <x:c r="D87" s="34" t="str">
        <x:v>TKT-004 [MUST] 标准状态至少包括 New、Acknowledged、In Triage、Assigned、Waiting、Restored、Resolved、Closure Pending、Closed 和 Cancelled
BR-004 [支撑端到端运营责任] 所有已接受工单从受理到关闭均存在责任主体、状态、升级、依赖和用户更新记录
§7.3 [设计章节（非需求编号）] Acknowledged：已确认接收，尚未完成 Initial Triage。 Assigned：已明确当前责任组并开始处理。</x:v>
      </x:c>
      <x:c r="E87" s="34" t="str">
        <x:v>D:/work/helpdesk/internal/services/ticket_lifecycle_tenant_test.go:81
D:/work/helpdesk/internal/models/models.go:1111</x:v>
      </x:c>
      <x:c r="F87" s="34" t="str">
        <x:v>已定位与本项有关的实现/测试入口；测试源码不等于本次执行结果。</x:v>
      </x:c>
      <x:c r="G87" s="34" t="str">
        <x:v>定位到工程师接单相关字段/测试，不能证明原文受理确认语义一致。</x:v>
      </x:c>
      <x:c r="H87" s="34" t="str">
        <x:v>工程师接单后记录处理动作
留证：环境/版本、前置配置、输入、实际与预期、截图或脱敏接口响应、测试人及时间。</x:v>
      </x:c>
      <x:c r="I87" s="34" t="str">
        <x:v>已完成</x:v>
      </x:c>
      <x:c r="J87" s="34" t="str">
        <x:v>工程师 AcceptedAt 与原文面向受理的 Acknowledged 不能未经确认直接等同。
原表标为已完成，未附可复核运行证据，现标待复验；不是断言原功能失效。</x:v>
      </x:c>
      <x:c r="K87" s="34" t="str">
        <x:v>待排复验：原估 0 人日不是当前复验工时；取得证据后确定是否开发及安排日期。</x:v>
      </x:c>
    </x:row>
    <x:row r="88" ht="52" customHeight="1">
      <x:c r="A88" s="34" t="str">
        <x:v>FUN-017</x:v>
      </x:c>
      <x:c r="B88" s="34" t="str">
        <x:v>系统扩展与原文要求混合</x:v>
      </x:c>
      <x:c r="C88" s="34" t="str">
        <x:v>TKT-009；BR-004；§2.4</x:v>
      </x:c>
      <x:c r="D88" s="34" t="str">
        <x:v>TKT-009 [MUST] 用户和内部通知必须使用批准模板、Locale 和敏感信息规则，并保存发送结果
BR-004 [支撑端到端运营责任] 所有已接受工单从受理到关闭均存在责任主体、状态、升级、依赖和用户更新记录
§2.4 [设计章节（非需求编号）] 面向客户或公众的 Self-service Portal、Status Page、FAQ Site。</x:v>
      </x:c>
      <x:c r="E88" s="34" t="str">
        <x:v>D:/work/helpdesk/internal/models/models.go:1157</x:v>
      </x:c>
      <x:c r="F88" s="34" t="str">
        <x:v>已定位与本项有关的实现/测试入口；测试源码不等于本次执行结果。</x:v>
      </x:c>
      <x:c r="G88" s="34" t="str">
        <x:v>客户可见字段只证明数据结构基础，不证明门户越权控制或通知发送。</x:v>
      </x:c>
      <x:c r="H88" s="34" t="str">
        <x:v>通知内容与投递记录满足 TKT-009；门户仅作为现有扩展独立验证授权与进度可见性。
留证：环境/版本、前置配置、输入、实际与预期、截图或脱敏接口响应、测试人及时间。</x:v>
      </x:c>
      <x:c r="I88" s="34" t="str">
        <x:v>已完成</x:v>
      </x:c>
      <x:c r="J88" s="34" t="str">
        <x:v>用户更新是原文要求，但面向客户的 Self-service Portal 被列为 V1 不包含。
原表标为已完成，未附可复核运行证据，现标待复验；不是断言原功能失效。</x:v>
      </x:c>
      <x:c r="K88" s="34" t="str">
        <x:v>待排复验：原估 0 人日不是当前复验工时；取得证据后确定是否开发及安排日期。</x:v>
      </x:c>
    </x:row>
    <x:row r="89" ht="94" customHeight="1">
      <x:c r="A89" s="34" t="str">
        <x:v>FUN-018</x:v>
      </x:c>
      <x:c r="B89" s="34" t="str">
        <x:v>系统适配（维修记录）</x:v>
      </x:c>
      <x:c r="C89" s="34" t="str">
        <x:v>TKT-004；§7.3；§9.1</x:v>
      </x:c>
      <x:c r="D89" s="34" t="str">
        <x:v>TKT-004 [MUST] 标准状态至少包括 New、Acknowledged、In Triage、Assigned、Waiting、Restored、Resolved、Closure Pending、Closed 和 Cancelled
§7.3 [设计章节（非需求编号）] Restored：用户服务已恢复，但可能仍需 Permanent Fix 或 Problem Follow-up。 Resolved：解决结果和证据完整，等待关闭确认或批准周期。
§9.1 [设计章节（非需求编号）] Restore/Resolve：保存 Restore Evidence、Resolution、Workaround、Known Error 或 Permanent Fix Route。</x:v>
      </x:c>
      <x:c r="E89" s="34" t="str">
        <x:v>D:/work/helpdesk/internal/services/ticket_service.go:1357</x:v>
      </x:c>
      <x:c r="F89" s="34" t="str">
        <x:v>已定位与本项有关的实现/测试入口；测试源码不等于本次执行结果。</x:v>
      </x:c>
      <x:c r="G89" s="34" t="str">
        <x:v>定位到维修记录入口，未重新执行完整解决和证据验证场景。</x:v>
      </x:c>
      <x:c r="H89" s="34" t="str">
        <x:v>有故障、原因、方案及验证结果后提交解决
留证：环境/版本、前置配置、输入、实际与预期、截图或脱敏接口响应、测试人及时间。</x:v>
      </x:c>
      <x:c r="I89" s="34" t="str">
        <x:v>已完成</x:v>
      </x:c>
      <x:c r="J89" s="34" t="str">
        <x:v>恢复/解决证据是原文要求；设备故障、根因、维修方案等具体表单是现有售后系统适配。
原表标为已完成，未附可复核运行证据，现标待复验；不是断言原功能失效。</x:v>
      </x:c>
      <x:c r="K89" s="34" t="str">
        <x:v>待排复验：原估 0 人日不是当前复验工时；取得证据后确定是否开发及安排日期。</x:v>
      </x:c>
    </x:row>
    <x:row r="90" ht="66" customHeight="1">
      <x:c r="A90" s="34" t="str">
        <x:v>FUN-019</x:v>
      </x:c>
      <x:c r="B90" s="34" t="str">
        <x:v>原文要求与评价扩展混合</x:v>
      </x:c>
      <x:c r="C90" s="34" t="str">
        <x:v>TKT-004；§9.1</x:v>
      </x:c>
      <x:c r="D90" s="34" t="str">
        <x:v>TKT-004 [MUST] 标准状态至少包括 New、Acknowledged、In Triage、Assigned、Waiting、Restored、Resolved、Closure Pending、Closed 和 Cancelled
§9.1 [设计章节（非需求编号）] Close：完成 Closure Checklist、Code、User Confirmation/Timeout 和必要 Knowledge/Problem Link。</x:v>
      </x:c>
      <x:c r="E90" s="34" t="str">
        <x:v>D:/work/helpdesk/internal/services/customer_ticket_action_service.go:243
D:/work/helpdesk/internal/services/customer_ticket_action_service.go:33</x:v>
      </x:c>
      <x:c r="F90" s="34" t="str">
        <x:v>已定位与本项有关的实现/测试入口；测试源码不等于本次执行结果。</x:v>
      </x:c>
      <x:c r="G90" s="34" t="str">
        <x:v>定位到确认与评分入口，未本次实测；评分不属于原文明示要求。</x:v>
      </x:c>
      <x:c r="H90" s="34" t="str">
        <x:v>关闭具备清单、关闭码及确认/超时依据；评价可独立回归，但不作为原文已完成证明。
留证：环境/版本、前置配置、输入、实际与预期、截图或脱敏接口响应、测试人及时间。</x:v>
      </x:c>
      <x:c r="I90" s="34" t="str">
        <x:v>已完成</x:v>
      </x:c>
      <x:c r="J90" s="34" t="str">
        <x:v>关闭确认来自第 9.1 节，客户评分不是 TKT-004 明示要求。
原表标为已完成，未附可复核运行证据，现标待复验；不是断言原功能失效。</x:v>
      </x:c>
      <x:c r="K90" s="34" t="str">
        <x:v>待排复验：原估 0 人日不是当前复验工时；取得证据后确定是否开发及安排日期。</x:v>
      </x:c>
    </x:row>
    <x:row r="91" ht="52" customHeight="1">
      <x:c r="A91" s="34" t="str">
        <x:v>FUN-020</x:v>
      </x:c>
      <x:c r="B91" s="34" t="str">
        <x:v>原文要求（功能拆分）</x:v>
      </x:c>
      <x:c r="C91" s="34" t="str">
        <x:v>§7.3；BR-004</x:v>
      </x:c>
      <x:c r="D91" s="34" t="str">
        <x:v>§7.3 [设计章节（非需求编号）] Reopen 必须创建 ticket.reopened Event，并重新启动适用 Clock；不得改写历史 Resolve/Close 时间。
BR-004 [支撑端到端运营责任] 所有已接受工单从受理到关闭均存在责任主体、状态、升级、依赖和用户更新记录</x:v>
      </x:c>
      <x:c r="E91" s="34" t="str">
        <x:v>D:/work/helpdesk/internal/services/customer_ticket_action_service.go:275</x:v>
      </x:c>
      <x:c r="F91" s="34" t="str">
        <x:v>已定位与本项有关的实现/测试入口；测试源码不等于本次执行结果。</x:v>
      </x:c>
      <x:c r="G91" s="34" t="str">
        <x:v>定位到重开入口；旧 Resolve/Close 时间保留与 Clock 重启仍须验证。</x:v>
      </x:c>
      <x:c r="H91" s="34" t="str">
        <x:v>重开产生独立事件，继续处理并重启适用时钟；旧解决和关闭时间仍可追溯。
留证：环境/版本、前置配置、输入、实际与预期、截图或脱敏接口响应、测试人及时间。</x:v>
      </x:c>
      <x:c r="I91" s="34" t="str">
        <x:v>已完成</x:v>
      </x:c>
      <x:c r="J91" s="34" t="str">
        <x:v>补上第 7.3 节明确要求，不能只验证状态回到处理中。
原表标为已完成，未附可复核运行证据，现标待复验；不是断言原功能失效。</x:v>
      </x:c>
      <x:c r="K91" s="34" t="str">
        <x:v>待排复验：原估 0 人日不是当前复验工时；取得证据后确定是否开发及安排日期。</x:v>
      </x:c>
    </x:row>
    <x:row r="92" ht="52" customHeight="1">
      <x:c r="A92" s="34" t="str">
        <x:v>FUN-046</x:v>
      </x:c>
      <x:c r="B92" s="34" t="str">
        <x:v>系统适配（知识事实源不同）</x:v>
      </x:c>
      <x:c r="C92" s="34" t="str">
        <x:v>KB-001；DCH-003</x:v>
      </x:c>
      <x:c r="D92" s="34" t="str">
        <x:v>KB-001 [MUST] V1 使用 GLPI 原生 Knowledge Base 保存批准的内部文章、Script 和 Runbook
DCH-003 [MUST] 基础 Chatbot 仅提供已审批知识问答、Intent Triage、结构化信息采集、English/Arabic 语言选择和 Human Handoff，不得自主执行交易、账户、退款、赔付、封禁或 Priority 最终裁决</x:v>
      </x:c>
      <x:c r="E92" s="34" t="str">
        <x:v>D:/work/helpdesk/internal/services/tenant_knowledge_document_service.go:48</x:v>
      </x:c>
      <x:c r="F92" s="34" t="str">
        <x:v>已定位与本项有关的实现/测试入口；测试源码不等于本次执行结果。</x:v>
      </x:c>
      <x:c r="G92" s="34" t="str">
        <x:v>仅定位到自研上传入口；未证明 GLPI 原生知识库，也未重跑检索。</x:v>
      </x:c>
      <x:c r="H92" s="34" t="str">
        <x:v>检索回归只证明自研能力；KB-001 还须验证 GLPI 原生 KB 或取得正式架构变更批准。
留证：环境/版本、前置配置、输入、实际与预期、截图或脱敏接口响应、测试人及时间。</x:v>
      </x:c>
      <x:c r="I92" s="34" t="str">
        <x:v>已完成</x:v>
      </x:c>
      <x:c r="J92" s="34" t="str">
        <x:v>不能以产品文档向量检索已经演示，证明 GLPI 原生知识库要求已完成。
原表标为已完成，未附可复核运行证据，现标待复验；不是断言原功能失效。</x:v>
      </x:c>
      <x:c r="K92" s="34" t="str">
        <x:v>待排复验：原估 0 人日不是当前复验工时；取得证据后确定是否开发及安排日期。</x:v>
      </x:c>
    </x:row>
    <x:row r="93" ht="52" customHeight="1">
      <x:c r="A93" s="34" t="str">
        <x:v>FUN-047</x:v>
      </x:c>
      <x:c r="B93" s="34" t="str">
        <x:v>原文要求（功能拆分）</x:v>
      </x:c>
      <x:c r="C93" s="34" t="str">
        <x:v>DCH-003；KB-003</x:v>
      </x:c>
      <x:c r="D93" s="34" t="str">
        <x:v>DCH-003 [MUST] 基础 Chatbot 仅提供已审批知识问答、Intent Triage、结构化信息采集、English/Arabic 语言选择和 Human Handoff，不得自主执行交易、账户、退款、赔付、封禁或 Priority 最终裁决
KB-003 [MUST] 仅 Approved 且当前有效的文章可用于 Agent 标准答复；Draft、Expired 或 Withdrawn 文章必须明显受限</x:v>
      </x:c>
      <x:c r="E93" s="34" t="str">
        <x:v>原表“当前系统已经有的”记录：lalala实际会话已生成包含资料阈值的答案
本次未取得此项新的代码/运行验收证据。</x:v>
      </x:c>
      <x:c r="F93" s="34" t="str">
        <x:v>仅保留历史判断供复核，不作为当前实现已通过的证明。</x:v>
      </x:c>
      <x:c r="G93" s="34" t="str">
        <x:v>未执行运行场景，未审计全部实现；状态沿用原表工作判断。原文映射仅表示相关，不代表覆盖整条需求。</x:v>
      </x:c>
      <x:c r="H93" s="34" t="str">
        <x:v>只使用已批准有效内容；草稿/过期/撤回资料不能作为标准答复；其余 Bot 约束分别留证。
留证：环境/版本、前置配置、输入、实际与预期、截图或脱敏接口响应、测试人及时间。</x:v>
      </x:c>
      <x:c r="I93" s="34" t="str">
        <x:v>已完成</x:v>
      </x:c>
      <x:c r="J93" s="34" t="str">
        <x:v>有基于入库资料的回答不等于已审批问答；原文的批准与有效性前置不能省略。
原表标为已完成，未附可复核运行证据，现标待复验；不是断言原功能失效。</x:v>
      </x:c>
      <x:c r="K93" s="34" t="str">
        <x:v>待排复验：原估 0 人日不是当前复验工时；取得证据后确定是否开发及安排日期。</x:v>
      </x:c>
    </x:row>
    <x:row r="94" ht="46" customHeight="1">
      <x:c r="A94" s="34" t="str">
        <x:v>FUN-075</x:v>
      </x:c>
      <x:c r="B94" s="34" t="str">
        <x:v>原文报告的基础子集</x:v>
      </x:c>
      <x:c r="C94" s="34" t="str">
        <x:v>RPT-002</x:v>
      </x:c>
      <x:c r="D94" s="34" t="str">
        <x:v>RPT-002 [MUST] Monthly Service Report 至少包含 Demand、Channel、Priority、Target、Dependency、Backlog、Quality、Trend、Capacity 和 Action</x:v>
      </x:c>
      <x:c r="E94" s="34" t="str">
        <x:v>原表“当前系统已经有的”记录：历史真实演示核对处理中和已关闭统计通过
本次未取得此项新的代码/运行验收证据。</x:v>
      </x:c>
      <x:c r="F94" s="34" t="str">
        <x:v>仅保留历史判断供复核，不作为当前实现已通过的证明。</x:v>
      </x:c>
      <x:c r="G94" s="34" t="str">
        <x:v>未执行运行场景，未审计全部实现；状态沿用原表工作判断。原文映射仅表示相关，不代表覆盖整条需求。</x:v>
      </x:c>
      <x:c r="H94" s="34" t="str">
        <x:v>基础报表与工单状态一致
留证：环境/版本、前置配置、输入、实际与预期、截图或脱敏接口响应、测试人及时间。</x:v>
      </x:c>
      <x:c r="I94" s="34" t="str">
        <x:v>已完成</x:v>
      </x:c>
      <x:c r="J94" s="34" t="str">
        <x:v>工单数量和状态统计只是 RPT-002 月报内容的一部分，不能单独证明完整月报验收通过。
原表标为已完成，未附可复核运行证据，现标待复验；不是断言原功能失效。</x:v>
      </x:c>
      <x:c r="K94" s="34" t="str">
        <x:v>待排复验：原估 0 人日不是当前复验工时；取得证据后确定是否开发及安排日期。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0b4f2deb0924cc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9" hidden="0" customWidth="1"/>
    <x:col min="2" max="2" width="34" hidden="0" customWidth="1"/>
    <x:col min="3" max="3" width="56" hidden="0" customWidth="1"/>
    <x:col min="4" max="4" width="125" hidden="0" customWidth="1"/>
    <x:col min="5" max="5" width="30" hidden="0" customWidth="1"/>
    <x:col min="6" max="6" width="73" hidden="0" customWidth="1"/>
    <x:col min="7" max="7" width="100" hidden="0" customWidth="1"/>
    <x:col min="8" max="8" width="24" hidden="0" customWidth="1"/>
  </x:cols>
  <x:sheetData>
    <x:row r="1" ht="30" customHeight="1">
      <x:c r="A1" s="72" t="str">
        <x:v>需求原文与范围</x:v>
      </x:c>
      <x:c r="B1" s="72"/>
      <x:c r="C1" s="72"/>
      <x:c r="D1" s="72"/>
      <x:c r="E1" s="72"/>
      <x:c r="F1" s="72"/>
      <x:c r="G1" s="72"/>
      <x:c r="H1" s="72"/>
    </x:row>
    <x:row r="2" ht="38" customHeight="1">
      <x:c r="A2" s="34" t="str">
        <x:v>来源：D:/桌面/Onward-HelpDesk-Platform-内部开发需求与总体设计-v0.1.0.docx。编号及摘录直接读取原文；§ 表示真实章节，不是新增需求 ID。</x:v>
      </x:c>
      <x:c r="B2" s="34"/>
      <x:c r="C2" s="34"/>
      <x:c r="D2" s="34"/>
      <x:c r="E2" s="34"/>
      <x:c r="F2" s="34"/>
      <x:c r="G2" s="34"/>
      <x:c r="H2" s="34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30" customHeight="1">
      <x:c r="A4" s="47" t="str">
        <x:v>原文编号/章节</x:v>
      </x:c>
      <x:c r="B4" s="47" t="str">
        <x:v>原文级别</x:v>
      </x:c>
      <x:c r="C4" s="47" t="str">
        <x:v>原文位置</x:v>
      </x:c>
      <x:c r="D4" s="47" t="str">
        <x:v>原文内容</x:v>
      </x:c>
      <x:c r="E4" s="47" t="str">
        <x:v>关联功能ID</x:v>
      </x:c>
      <x:c r="F4" s="47" t="str">
        <x:v>覆盖范围说明</x:v>
      </x:c>
      <x:c r="G4" s="47" t="str">
        <x:v>后续处理</x:v>
      </x:c>
      <x:c r="H4" s="47" t="str">
        <x:v>验收结论</x:v>
      </x:c>
    </x:row>
    <x:row r="5" ht="46" customHeight="1">
      <x:c r="A5" s="34" t="str">
        <x:v>C-01</x:v>
      </x:c>
      <x:c r="B5" s="34" t="str">
        <x:v>约束</x:v>
      </x:c>
      <x:c r="C5" s="34" t="str">
        <x:v>1.3 不可妥协的产品约束</x:v>
      </x:c>
      <x:c r="D5" s="34" t="str">
        <x:v>生产运行时不得依赖必须付费、订阅或购买 Enterprise Edition 才能使用的功能</x:v>
      </x:c>
      <x:c r="E5" s="34" t="str">
        <x:v>未单列</x:v>
      </x:c>
      <x:c r="F5" s="34" t="str">
        <x:v>原 90 项未单列；不能从业务完成比例推定满足</x:v>
      </x:c>
      <x:c r="G5" s="34" t="str">
        <x:v>补入范围评审，明确独立工作项、负责人、估算与证据；本次不擅自排期。</x:v>
      </x:c>
      <x:c r="H5" s="34" t="str">
        <x:v>未完成验收</x:v>
      </x:c>
    </x:row>
    <x:row r="6" ht="46" customHeight="1">
      <x:c r="A6" s="34" t="str">
        <x:v>C-02</x:v>
      </x:c>
      <x:c r="B6" s="34" t="str">
        <x:v>约束</x:v>
      </x:c>
      <x:c r="C6" s="34" t="str">
        <x:v>1.3 不可妥协的产品约束</x:v>
      </x:c>
      <x:c r="D6" s="34" t="str">
        <x:v>生产组件必须使用 OSI-approved License；ELv2、SSPL、BSL 等 Source Available License 不进入基线</x:v>
      </x:c>
      <x:c r="E6" s="34" t="str">
        <x:v>未单列</x:v>
      </x:c>
      <x:c r="F6" s="34" t="str">
        <x:v>原 90 项未单列；不能从业务完成比例推定满足</x:v>
      </x:c>
      <x:c r="G6" s="34" t="str">
        <x:v>补入范围评审，明确独立工作项、负责人、估算与证据；本次不擅自排期。</x:v>
      </x:c>
      <x:c r="H6" s="34" t="str">
        <x:v>未完成验收</x:v>
      </x:c>
    </x:row>
    <x:row r="7" ht="46" customHeight="1">
      <x:c r="A7" s="34" t="str">
        <x:v>C-03</x:v>
      </x:c>
      <x:c r="B7" s="34" t="str">
        <x:v>约束</x:v>
      </x:c>
      <x:c r="C7" s="34" t="str">
        <x:v>1.3 不可妥协的产品约束</x:v>
      </x:c>
      <x:c r="D7" s="34" t="str">
        <x:v>每个项目使用独立运行实例、数据库、附件存储、密钥、日志、监控数据和备份 Repository</x:v>
      </x:c>
      <x:c r="E7" s="34" t="str">
        <x:v>未单列</x:v>
      </x:c>
      <x:c r="F7" s="34" t="str">
        <x:v>原 90 项未单列；不能从业务完成比例推定满足</x:v>
      </x:c>
      <x:c r="G7" s="34" t="str">
        <x:v>架构/工程工作单独核查。当前自研系统不能凭相似界面视为符合 GLPI/Ops Core 和每项目独立部署基线；需遵循原设计或取得变更批准。</x:v>
      </x:c>
      <x:c r="H7" s="34" t="str">
        <x:v>未完成验收</x:v>
      </x:c>
    </x:row>
    <x:row r="8" ht="46" customHeight="1">
      <x:c r="A8" s="34" t="str">
        <x:v>C-04</x:v>
      </x:c>
      <x:c r="B8" s="34" t="str">
        <x:v>约束</x:v>
      </x:c>
      <x:c r="C8" s="34" t="str">
        <x:v>1.3 不可妥协的产品约束</x:v>
      </x:c>
      <x:c r="D8" s="34" t="str">
        <x:v>不为项目修改或 Fork 上游开源产品；差异通过版本化 Project Configuration Overlay 实现</x:v>
      </x:c>
      <x:c r="E8" s="34" t="str">
        <x:v>未单列</x:v>
      </x:c>
      <x:c r="F8" s="34" t="str">
        <x:v>原 90 项未单列；不能从业务完成比例推定满足</x:v>
      </x:c>
      <x:c r="G8" s="34" t="str">
        <x:v>补入范围评审，明确独立工作项、负责人、估算与证据；本次不擅自排期。</x:v>
      </x:c>
      <x:c r="H8" s="34" t="str">
        <x:v>未完成验收</x:v>
      </x:c>
    </x:row>
    <x:row r="9" ht="46" customHeight="1">
      <x:c r="A9" s="34" t="str">
        <x:v>C-05</x:v>
      </x:c>
      <x:c r="B9" s="34" t="str">
        <x:v>约束</x:v>
      </x:c>
      <x:c r="C9" s="34" t="str">
        <x:v>1.3 不可妥协的产品约束</x:v>
      </x:c>
      <x:c r="D9" s="34" t="str">
        <x:v>GLPI 是工单原始事实源；Ops Core 是 Canonical Event、责任时钟、服务目标、运营事实和报告事实源</x:v>
      </x:c>
      <x:c r="E9" s="34" t="str">
        <x:v>未单列</x:v>
      </x:c>
      <x:c r="F9" s="34" t="str">
        <x:v>原 90 项未单列；不能从业务完成比例推定满足</x:v>
      </x:c>
      <x:c r="G9" s="34" t="str">
        <x:v>架构/工程工作单独核查。当前自研系统不能凭相似界面视为符合 GLPI/Ops Core 和每项目独立部署基线；需遵循原设计或取得变更批准。</x:v>
      </x:c>
      <x:c r="H9" s="34" t="str">
        <x:v>未完成验收</x:v>
      </x:c>
    </x:row>
    <x:row r="10" ht="46" customHeight="1">
      <x:c r="A10" s="34" t="str">
        <x:v>C-06</x:v>
      </x:c>
      <x:c r="B10" s="34" t="str">
        <x:v>约束</x:v>
      </x:c>
      <x:c r="C10" s="34" t="str">
        <x:v>1.3 不可妥协的产品约束</x:v>
      </x:c>
      <x:c r="D10" s="34" t="str">
        <x:v>Fleet Console 不存储客户工单正文、附件、用户身份、业务日志或报告数据</x:v>
      </x:c>
      <x:c r="E10" s="34" t="str">
        <x:v>未单列</x:v>
      </x:c>
      <x:c r="F10" s="34" t="str">
        <x:v>原 90 项未单列；不能从业务完成比例推定满足</x:v>
      </x:c>
      <x:c r="G10" s="34" t="str">
        <x:v>架构/工程工作单独核查。当前自研系统不能凭相似界面视为符合 GLPI/Ops Core 和每项目独立部署基线；需遵循原设计或取得变更批准。</x:v>
      </x:c>
      <x:c r="H10" s="34" t="str">
        <x:v>未完成验收</x:v>
      </x:c>
    </x:row>
    <x:row r="11" ht="46" customHeight="1">
      <x:c r="A11" s="34" t="str">
        <x:v>C-07</x:v>
      </x:c>
      <x:c r="B11" s="34" t="str">
        <x:v>约束</x:v>
      </x:c>
      <x:c r="C11" s="34" t="str">
        <x:v>1.3 不可妥协的产品约束</x:v>
      </x:c>
      <x:c r="D11" s="34" t="str">
        <x:v>任何 Generic Pending 状态不得自动暂停 DayPop 可归责时钟；暂停必须有批准原因和证据</x:v>
      </x:c>
      <x:c r="E11" s="34" t="str">
        <x:v>未单列</x:v>
      </x:c>
      <x:c r="F11" s="34" t="str">
        <x:v>原 90 项未单列；不能从业务完成比例推定满足</x:v>
      </x:c>
      <x:c r="G11" s="34" t="str">
        <x:v>补入范围评审，明确独立工作项、负责人、估算与证据；本次不擅自排期。</x:v>
      </x:c>
      <x:c r="H11" s="34" t="str">
        <x:v>未完成验收</x:v>
      </x:c>
    </x:row>
    <x:row r="12" ht="46" customHeight="1">
      <x:c r="A12" s="34" t="str">
        <x:v>C-08</x:v>
      </x:c>
      <x:c r="B12" s="34" t="str">
        <x:v>约束</x:v>
      </x:c>
      <x:c r="C12" s="34" t="str">
        <x:v>1.3 不可妥协的产品约束</x:v>
      </x:c>
      <x:c r="D12" s="34" t="str">
        <x:v>项目上线前必须冻结 Retention Policy、Service/Component Registry、服务目标、升级路径和数据出口规则</x:v>
      </x:c>
      <x:c r="E12" s="34" t="str">
        <x:v>未单列</x:v>
      </x:c>
      <x:c r="F12" s="34" t="str">
        <x:v>原 90 项未单列；不能从业务完成比例推定满足</x:v>
      </x:c>
      <x:c r="G12" s="34" t="str">
        <x:v>补入范围评审，明确独立工作项、负责人、估算与证据；本次不擅自排期。</x:v>
      </x:c>
      <x:c r="H12" s="34" t="str">
        <x:v>未完成验收</x:v>
      </x:c>
    </x:row>
    <x:row r="13" ht="46" customHeight="1">
      <x:c r="A13" s="34" t="str">
        <x:v>C-09</x:v>
      </x:c>
      <x:c r="B13" s="34" t="str">
        <x:v>约束</x:v>
      </x:c>
      <x:c r="C13" s="34" t="str">
        <x:v>1.3 不可妥协的产品约束</x:v>
      </x:c>
      <x:c r="D13" s="34" t="str">
        <x:v>镜像必须同时锁定 Semantic Version 与 Immutable Digest，禁止使用 latest</x:v>
      </x:c>
      <x:c r="E13" s="34" t="str">
        <x:v>未单列</x:v>
      </x:c>
      <x:c r="F13" s="34" t="str">
        <x:v>原 90 项未单列；不能从业务完成比例推定满足</x:v>
      </x:c>
      <x:c r="G13" s="34" t="str">
        <x:v>架构/工程工作单独核查。当前自研系统不能凭相似界面视为符合 GLPI/Ops Core 和每项目独立部署基线；需遵循原设计或取得变更批准。</x:v>
      </x:c>
      <x:c r="H13" s="34" t="str">
        <x:v>未完成验收</x:v>
      </x:c>
    </x:row>
    <x:row r="14" ht="46" customHeight="1">
      <x:c r="A14" s="34" t="str">
        <x:v>C-10</x:v>
      </x:c>
      <x:c r="B14" s="34" t="str">
        <x:v>约束</x:v>
      </x:c>
      <x:c r="C14" s="34" t="str">
        <x:v>1.3 不可妥协的产品约束</x:v>
      </x:c>
      <x:c r="D14" s="34" t="str">
        <x:v>WhatsApp 与基础 Chatbot 属于 V1 产品能力并按项目默认关闭；Public Portal、Status Page、Social/Web Chat、开放域生成式 AI、完整 WFM 和自建 PBX 不属于 V1</x:v>
      </x:c>
      <x:c r="E14" s="34" t="str">
        <x:v>FUN-060</x:v>
      </x:c>
      <x:c r="F14" s="34" t="str">
        <x:v>相关功能已映射；不代表整条需求已实现</x:v>
      </x:c>
      <x:c r="G14" s="34" t="str">
        <x:v>按原文全文核对各关联拆分项；实施方案及跨项验收仍需确认。</x:v>
      </x:c>
      <x:c r="H14" s="34" t="str">
        <x:v>未完成验收</x:v>
      </x:c>
    </x:row>
    <x:row r="15" ht="46" customHeight="1">
      <x:c r="A15" s="34" t="str">
        <x:v>BR-001</x:v>
      </x:c>
      <x:c r="B15" s="34" t="str">
        <x:v>建立可复用 DayPop 产品</x:v>
      </x:c>
      <x:c r="C15" s="34" t="str">
        <x:v>2.2 业务目标</x:v>
      </x:c>
      <x:c r="D15" s="34" t="str">
        <x:v>新项目通过配置和部署模板上线，核心代码不出现客户专属分支</x:v>
      </x:c>
      <x:c r="E15" s="34" t="str">
        <x:v>未单列</x:v>
      </x:c>
      <x:c r="F15" s="34" t="str">
        <x:v>原 90 项未单列；不能从业务完成比例推定满足</x:v>
      </x:c>
      <x:c r="G15" s="34" t="str">
        <x:v>补入范围评审，明确独立工作项、负责人、估算与证据；本次不擅自排期。</x:v>
      </x:c>
      <x:c r="H15" s="34" t="str">
        <x:v>未完成验收</x:v>
      </x:c>
    </x:row>
    <x:row r="16" ht="46" customHeight="1">
      <x:c r="A16" s="34" t="str">
        <x:v>BR-002</x:v>
      </x:c>
      <x:c r="B16" s="34" t="str">
        <x:v>消除第三方商业软件 License 依赖</x:v>
      </x:c>
      <x:c r="C16" s="34" t="str">
        <x:v>2.2 业务目标</x:v>
      </x:c>
      <x:c r="D16" s="34" t="str">
        <x:v>Release Manifest 和 SBOM 中所有生产组件通过批准的 OSI License Gate</x:v>
      </x:c>
      <x:c r="E16" s="34" t="str">
        <x:v>未单列</x:v>
      </x:c>
      <x:c r="F16" s="34" t="str">
        <x:v>原 90 项未单列；不能从业务完成比例推定满足</x:v>
      </x:c>
      <x:c r="G16" s="34" t="str">
        <x:v>补入范围评审，明确独立工作项、负责人、估算与证据；本次不擅自排期。</x:v>
      </x:c>
      <x:c r="H16" s="34" t="str">
        <x:v>未完成验收</x:v>
      </x:c>
    </x:row>
    <x:row r="17" ht="46" customHeight="1">
      <x:c r="A17" s="34" t="str">
        <x:v>BR-003</x:v>
      </x:c>
      <x:c r="B17" s="34" t="str">
        <x:v>实现项目级隔离</x:v>
      </x:c>
      <x:c r="C17" s="34" t="str">
        <x:v>2.2 业务目标</x:v>
      </x:c>
      <x:c r="D17" s="34" t="str">
        <x:v>任一项目的账号、数据库、附件、日志、监控、密钥和备份均不能被另一项目访问</x:v>
      </x:c>
      <x:c r="E17" s="34" t="str">
        <x:v>未单列</x:v>
      </x:c>
      <x:c r="F17" s="34" t="str">
        <x:v>原 90 项未单列；不能从业务完成比例推定满足</x:v>
      </x:c>
      <x:c r="G17" s="34" t="str">
        <x:v>补入范围评审，明确独立工作项、负责人、估算与证据；本次不擅自排期。</x:v>
      </x:c>
      <x:c r="H17" s="34" t="str">
        <x:v>未完成验收</x:v>
      </x:c>
    </x:row>
    <x:row r="18" ht="66" customHeight="1">
      <x:c r="A18" s="34" t="str">
        <x:v>BR-004</x:v>
      </x:c>
      <x:c r="B18" s="34" t="str">
        <x:v>支撑端到端运营责任</x:v>
      </x:c>
      <x:c r="C18" s="34" t="str">
        <x:v>2.2 业务目标</x:v>
      </x:c>
      <x:c r="D18" s="34" t="str">
        <x:v>所有已接受工单从受理到关闭均存在责任主体、状态、升级、依赖和用户更新记录</x:v>
      </x:c>
      <x:c r="E18" s="34" t="str">
        <x:v>FUN-002
FUN-016
FUN-017
FUN-020</x:v>
      </x:c>
      <x:c r="F18" s="34" t="str">
        <x:v>相关功能已映射；不代表整条需求已实现</x:v>
      </x:c>
      <x:c r="G18" s="34" t="str">
        <x:v>按原文全文核对各关联拆分项；实施方案及跨项验收仍需确认。</x:v>
      </x:c>
      <x:c r="H18" s="34" t="str">
        <x:v>未完成验收</x:v>
      </x:c>
    </x:row>
    <x:row r="19" ht="46" customHeight="1">
      <x:c r="A19" s="34" t="str">
        <x:v>BR-005</x:v>
      </x:c>
      <x:c r="B19" s="34" t="str">
        <x:v>支撑可审计交付与退出</x:v>
      </x:c>
      <x:c r="C19" s="34" t="str">
        <x:v>2.2 业务目标</x:v>
      </x:c>
      <x:c r="D19" s="34" t="str">
        <x:v>运营报告可重算；项目数据可按标准 Exit Package 导出并校验</x:v>
      </x:c>
      <x:c r="E19" s="34" t="str">
        <x:v>未单列</x:v>
      </x:c>
      <x:c r="F19" s="34" t="str">
        <x:v>原 90 项未单列；不能从业务完成比例推定满足</x:v>
      </x:c>
      <x:c r="G19" s="34" t="str">
        <x:v>补入范围评审，明确独立工作项、负责人、估算与证据；本次不擅自排期。</x:v>
      </x:c>
      <x:c r="H19" s="34" t="str">
        <x:v>未完成验收</x:v>
      </x:c>
    </x:row>
    <x:row r="20" ht="46" customHeight="1">
      <x:c r="A20" s="34" t="str">
        <x:v>BR-006</x:v>
      </x:c>
      <x:c r="B20" s="34" t="str">
        <x:v>支撑小规模启动与平滑扩容</x:v>
      </x:c>
      <x:c r="C20" s="34" t="str">
        <x:v>2.2 业务目标</x:v>
      </x:c>
      <x:c r="D20" s="34" t="str">
        <x:v>Lean、Standard、Scale 三档经过压测；项目升级档位不修改业务代码</x:v>
      </x:c>
      <x:c r="E20" s="34" t="str">
        <x:v>未单列</x:v>
      </x:c>
      <x:c r="F20" s="34" t="str">
        <x:v>原 90 项未单列；不能从业务完成比例推定满足</x:v>
      </x:c>
      <x:c r="G20" s="34" t="str">
        <x:v>补入范围评审，明确独立工作项、负责人、估算与证据；本次不擅自排期。</x:v>
      </x:c>
      <x:c r="H20" s="34" t="str">
        <x:v>未完成验收</x:v>
      </x:c>
    </x:row>
    <x:row r="21" ht="46" customHeight="1">
      <x:c r="A21" s="34" t="str">
        <x:v>BR-007</x:v>
      </x:c>
      <x:c r="B21" s="34" t="str">
        <x:v>支撑跨项目产品治理</x:v>
      </x:c>
      <x:c r="C21" s="34" t="str">
        <x:v>2.2 业务目标</x:v>
      </x:c>
      <x:c r="D21" s="34" t="str">
        <x:v>DayPop 可集中掌握实例版本、健康、备份和扫描状态，同时不汇集客户业务数据</x:v>
      </x:c>
      <x:c r="E21" s="34" t="str">
        <x:v>未单列</x:v>
      </x:c>
      <x:c r="F21" s="34" t="str">
        <x:v>原 90 项未单列；不能从业务完成比例推定满足</x:v>
      </x:c>
      <x:c r="G21" s="34" t="str">
        <x:v>补入范围评审，明确独立工作项、负责人、估算与证据；本次不擅自排期。</x:v>
      </x:c>
      <x:c r="H21" s="34" t="str">
        <x:v>未完成验收</x:v>
      </x:c>
    </x:row>
    <x:row r="22" ht="46" customHeight="1">
      <x:c r="A22" s="34" t="str">
        <x:v>FND-001</x:v>
      </x:c>
      <x:c r="B22" s="34" t="str">
        <x:v>MUST</x:v>
      </x:c>
      <x:c r="C22" s="34" t="str">
        <x:v>4.1 项目生命周期与配置</x:v>
      </x:c>
      <x:c r="D22" s="34" t="str">
        <x:v>平台必须从批准的 Release Bundle 在干净 Ubuntu Server 24.04 LTS 主机上自动部署项目实例，不要求手工修改应用代码或上游镜像</x:v>
      </x:c>
      <x:c r="E22" s="34" t="str">
        <x:v>未单列</x:v>
      </x:c>
      <x:c r="F22" s="34" t="str">
        <x:v>已移除 FUN-001 错误映射；企业管理员登录不能证明项目自动部署</x:v>
      </x:c>
      <x:c r="G22" s="34" t="str">
        <x:v>架构/工程工作单独核查。当前自研系统不能凭相似界面视为符合 GLPI/Ops Core 和每项目独立部署基线；需遵循原设计或取得变更批准。</x:v>
      </x:c>
      <x:c r="H22" s="34" t="str">
        <x:v>未完成验收</x:v>
      </x:c>
    </x:row>
    <x:row r="23" ht="46" customHeight="1">
      <x:c r="A23" s="34" t="str">
        <x:v>FND-002</x:v>
      </x:c>
      <x:c r="B23" s="34" t="str">
        <x:v>MUST</x:v>
      </x:c>
      <x:c r="C23" s="34" t="str">
        <x:v>4.1 项目生命周期与配置</x:v>
      </x:c>
      <x:c r="D23" s="34" t="str">
        <x:v>所有项目差异必须由版本化 Project Configuration 表达，并在部署前通过 JSON Schema、Policy 和 Secret Reference 校验</x:v>
      </x:c>
      <x:c r="E23" s="34" t="str">
        <x:v>未单列</x:v>
      </x:c>
      <x:c r="F23" s="34" t="str">
        <x:v>原 90 项未单列；不能从业务完成比例推定满足</x:v>
      </x:c>
      <x:c r="G23" s="34" t="str">
        <x:v>架构/工程工作单独核查。当前自研系统不能凭相似界面视为符合 GLPI/Ops Core 和每项目独立部署基线；需遵循原设计或取得变更批准。</x:v>
      </x:c>
      <x:c r="H23" s="34" t="str">
        <x:v>未完成验收</x:v>
      </x:c>
    </x:row>
    <x:row r="24" ht="46" customHeight="1">
      <x:c r="A24" s="34" t="str">
        <x:v>FND-003</x:v>
      </x:c>
      <x:c r="B24" s="34" t="str">
        <x:v>MUST</x:v>
      </x:c>
      <x:c r="C24" s="34" t="str">
        <x:v>4.1 项目生命周期与配置</x:v>
      </x:c>
      <x:c r="D24" s="34" t="str">
        <x:v>平台必须支持一个 DayPop Shared Integration 环境，以及每项目独立 Staging 和 Production 环境</x:v>
      </x:c>
      <x:c r="E24" s="34" t="str">
        <x:v>未单列</x:v>
      </x:c>
      <x:c r="F24" s="34" t="str">
        <x:v>原 90 项未单列；不能从业务完成比例推定满足</x:v>
      </x:c>
      <x:c r="G24" s="34" t="str">
        <x:v>架构/工程工作单独核查。当前自研系统不能凭相似界面视为符合 GLPI/Ops Core 和每项目独立部署基线；需遵循原设计或取得变更批准。</x:v>
      </x:c>
      <x:c r="H24" s="34" t="str">
        <x:v>未完成验收</x:v>
      </x:c>
    </x:row>
    <x:row r="25" ht="46" customHeight="1">
      <x:c r="A25" s="34" t="str">
        <x:v>FND-004</x:v>
      </x:c>
      <x:c r="B25" s="34" t="str">
        <x:v>MUST</x:v>
      </x:c>
      <x:c r="C25" s="34" t="str">
        <x:v>4.1 项目生命周期与配置</x:v>
      </x:c>
      <x:c r="D25" s="34" t="str">
        <x:v>项目实例必须向 Fleet Console 注册项目 ID、环境、版本、Digest、容量档、健康、备份和扫描状态，不得上传业务数据</x:v>
      </x:c>
      <x:c r="E25" s="34" t="str">
        <x:v>未单列</x:v>
      </x:c>
      <x:c r="F25" s="34" t="str">
        <x:v>原 90 项未单列；不能从业务完成比例推定满足</x:v>
      </x:c>
      <x:c r="G25" s="34" t="str">
        <x:v>架构/工程工作单独核查。当前自研系统不能凭相似界面视为符合 GLPI/Ops Core 和每项目独立部署基线；需遵循原设计或取得变更批准。</x:v>
      </x:c>
      <x:c r="H25" s="34" t="str">
        <x:v>未完成验收</x:v>
      </x:c>
    </x:row>
    <x:row r="26" ht="46" customHeight="1">
      <x:c r="A26" s="34" t="str">
        <x:v>FND-005</x:v>
      </x:c>
      <x:c r="B26" s="34" t="str">
        <x:v>MUST</x:v>
      </x:c>
      <x:c r="C26" s="34" t="str">
        <x:v>4.1 项目生命周期与配置</x:v>
      </x:c>
      <x:c r="D26" s="34" t="str">
        <x:v>同一 Release Bundle 在无客户专属代码的情况下支持不同 Timezone、Calendar、Locale、Channel、Target Profile 和 Retention Policy</x:v>
      </x:c>
      <x:c r="E26" s="34" t="str">
        <x:v>未单列</x:v>
      </x:c>
      <x:c r="F26" s="34" t="str">
        <x:v>原 90 项未单列；不能从业务完成比例推定满足</x:v>
      </x:c>
      <x:c r="G26" s="34" t="str">
        <x:v>架构/工程工作单独核查。当前自研系统不能凭相似界面视为符合 GLPI/Ops Core 和每项目独立部署基线；需遵循原设计或取得变更批准。</x:v>
      </x:c>
      <x:c r="H26" s="34" t="str">
        <x:v>未完成验收</x:v>
      </x:c>
    </x:row>
    <x:row r="27" ht="46" customHeight="1">
      <x:c r="A27" s="34" t="str">
        <x:v>FND-006</x:v>
      </x:c>
      <x:c r="B27" s="34" t="str">
        <x:v>SHOULD</x:v>
      </x:c>
      <x:c r="C27" s="34" t="str">
        <x:v>4.1 项目生命周期与配置</x:v>
      </x:c>
      <x:c r="D27" s="34" t="str">
        <x:v>项目创建、升级、停用和销毁应形成不可删除的审批与执行记录</x:v>
      </x:c>
      <x:c r="E27" s="34" t="str">
        <x:v>未单列</x:v>
      </x:c>
      <x:c r="F27" s="34" t="str">
        <x:v>原 90 项未单列；不能从业务完成比例推定满足</x:v>
      </x:c>
      <x:c r="G27" s="34" t="str">
        <x:v>架构/工程工作单独核查。当前自研系统不能凭相似界面视为符合 GLPI/Ops Core 和每项目独立部署基线；需遵循原设计或取得变更批准。</x:v>
      </x:c>
      <x:c r="H27" s="34" t="str">
        <x:v>未完成验收</x:v>
      </x:c>
    </x:row>
    <x:row r="28" ht="46" customHeight="1">
      <x:c r="A28" s="34" t="str">
        <x:v>IAM-001</x:v>
      </x:c>
      <x:c r="B28" s="34" t="str">
        <x:v>MUST</x:v>
      </x:c>
      <x:c r="C28" s="34" t="str">
        <x:v>4.2 身份、登录与权限</x:v>
      </x:c>
      <x:c r="D28" s="34" t="str">
        <x:v>所有 Agent 和管理人员必须通过中央 Keycloak 登录；oauth2-proxy 完成 OIDC 验证并向 GLPI 注入可信身份头</x:v>
      </x:c>
      <x:c r="E28" s="34" t="str">
        <x:v>FUN-004</x:v>
      </x:c>
      <x:c r="F28" s="34" t="str">
        <x:v>相关功能已映射；不代表整条需求已实现</x:v>
      </x:c>
      <x:c r="G28" s="34" t="str">
        <x:v>按原文全文核对各关联拆分项；实施方案及跨项验收仍需确认。</x:v>
      </x:c>
      <x:c r="H28" s="34" t="str">
        <x:v>未完成验收</x:v>
      </x:c>
    </x:row>
    <x:row r="29" ht="46" customHeight="1">
      <x:c r="A29" s="34" t="str">
        <x:v>IAM-002</x:v>
      </x:c>
      <x:c r="B29" s="34" t="str">
        <x:v>MUST</x:v>
      </x:c>
      <x:c r="C29" s="34" t="str">
        <x:v>4.2 身份、登录与权限</x:v>
      </x:c>
      <x:c r="D29" s="34" t="str">
        <x:v>所有用户必须启用 MFA；管理员优先强制 WebAuthn，Agent 可使用 TOTP</x:v>
      </x:c>
      <x:c r="E29" s="34" t="str">
        <x:v>FUN-005</x:v>
      </x:c>
      <x:c r="F29" s="34" t="str">
        <x:v>相关功能已映射；不代表整条需求已实现</x:v>
      </x:c>
      <x:c r="G29" s="34" t="str">
        <x:v>按原文全文核对各关联拆分项；实施方案及跨项验收仍需确认。</x:v>
      </x:c>
      <x:c r="H29" s="34" t="str">
        <x:v>未完成验收</x:v>
      </x:c>
    </x:row>
    <x:row r="30" ht="52" customHeight="1">
      <x:c r="A30" s="34" t="str">
        <x:v>IAM-003</x:v>
      </x:c>
      <x:c r="B30" s="34" t="str">
        <x:v>MUST</x:v>
      </x:c>
      <x:c r="C30" s="34" t="str">
        <x:v>4.2 身份、登录与权限</x:v>
      </x:c>
      <x:c r="D30" s="34" t="str">
        <x:v>采用 Project-scoped RBAC，至少区分 L1、Lead/QA、L2、L3、Project Admin、SRE、Auditor 和 Service Account</x:v>
      </x:c>
      <x:c r="E30" s="34" t="str">
        <x:v>FUN-003
FUN-001
FUN-002</x:v>
      </x:c>
      <x:c r="F30" s="34" t="str">
        <x:v>相关功能已映射；不代表整条需求已实现</x:v>
      </x:c>
      <x:c r="G30" s="34" t="str">
        <x:v>按原文全文核对各关联拆分项；实施方案及跨项验收仍需确认。</x:v>
      </x:c>
      <x:c r="H30" s="34" t="str">
        <x:v>未完成验收</x:v>
      </x:c>
    </x:row>
    <x:row r="31" ht="46" customHeight="1">
      <x:c r="A31" s="34" t="str">
        <x:v>IAM-004</x:v>
      </x:c>
      <x:c r="B31" s="34" t="str">
        <x:v>MUST</x:v>
      </x:c>
      <x:c r="C31" s="34" t="str">
        <x:v>4.2 身份、登录与权限</x:v>
      </x:c>
      <x:c r="D31" s="34" t="str">
        <x:v>入职、调岗和离职必须可追溯；禁用 Keycloak 账号后，相关会话和项目访问应在批准时限内失效</x:v>
      </x:c>
      <x:c r="E31" s="34" t="str">
        <x:v>FUN-006</x:v>
      </x:c>
      <x:c r="F31" s="34" t="str">
        <x:v>相关功能已映射；不代表整条需求已实现</x:v>
      </x:c>
      <x:c r="G31" s="34" t="str">
        <x:v>按原文全文核对各关联拆分项；实施方案及跨项验收仍需确认。</x:v>
      </x:c>
      <x:c r="H31" s="34" t="str">
        <x:v>未完成验收</x:v>
      </x:c>
    </x:row>
    <x:row r="32" ht="46" customHeight="1">
      <x:c r="A32" s="34" t="str">
        <x:v>IAM-005</x:v>
      </x:c>
      <x:c r="B32" s="34" t="str">
        <x:v>MUST</x:v>
      </x:c>
      <x:c r="C32" s="34" t="str">
        <x:v>4.2 身份、登录与权限</x:v>
      </x:c>
      <x:c r="D32" s="34" t="str">
        <x:v>Break-glass 账号必须使用独立凭据、离线保管、强 MFA、最小权限、每次使用审批和事后审计</x:v>
      </x:c>
      <x:c r="E32" s="34" t="str">
        <x:v>FUN-007</x:v>
      </x:c>
      <x:c r="F32" s="34" t="str">
        <x:v>相关功能已映射；不代表整条需求已实现</x:v>
      </x:c>
      <x:c r="G32" s="34" t="str">
        <x:v>按原文全文核对各关联拆分项；实施方案及跨项验收仍需确认。</x:v>
      </x:c>
      <x:c r="H32" s="34" t="str">
        <x:v>未完成验收</x:v>
      </x:c>
    </x:row>
    <x:row r="33" ht="46" customHeight="1">
      <x:c r="A33" s="34" t="str">
        <x:v>IAM-006</x:v>
      </x:c>
      <x:c r="B33" s="34" t="str">
        <x:v>MUST</x:v>
      </x:c>
      <x:c r="C33" s="34" t="str">
        <x:v>4.2 身份、登录与权限</x:v>
      </x:c>
      <x:c r="D33" s="34" t="str">
        <x:v>外部系统使用独立 Service Account、短生命周期 Token 或受控 Client Credential，不得复用人员账号</x:v>
      </x:c>
      <x:c r="E33" s="34" t="str">
        <x:v>FUN-090</x:v>
      </x:c>
      <x:c r="F33" s="34" t="str">
        <x:v>相关功能已映射；不代表整条需求已实现</x:v>
      </x:c>
      <x:c r="G33" s="34" t="str">
        <x:v>按原文全文核对各关联拆分项；实施方案及跨项验收仍需确认。</x:v>
      </x:c>
      <x:c r="H33" s="34" t="str">
        <x:v>未完成验收</x:v>
      </x:c>
    </x:row>
    <x:row r="34" ht="46" customHeight="1">
      <x:c r="A34" s="34" t="str">
        <x:v>IAM-007</x:v>
      </x:c>
      <x:c r="B34" s="34" t="str">
        <x:v>SHOULD</x:v>
      </x:c>
      <x:c r="C34" s="34" t="str">
        <x:v>4.2 身份、登录与权限</x:v>
      </x:c>
      <x:c r="D34" s="34" t="str">
        <x:v>角色映射和 Project Membership 应由声明式配置生成，并定期与实际授权对账</x:v>
      </x:c>
      <x:c r="E34" s="34" t="str">
        <x:v>FUN-006</x:v>
      </x:c>
      <x:c r="F34" s="34" t="str">
        <x:v>相关功能已映射；不代表整条需求已实现</x:v>
      </x:c>
      <x:c r="G34" s="34" t="str">
        <x:v>按原文全文核对各关联拆分项；实施方案及跨项验收仍需确认。</x:v>
      </x:c>
      <x:c r="H34" s="34" t="str">
        <x:v>未完成验收</x:v>
      </x:c>
    </x:row>
    <x:row r="35" ht="80" customHeight="1">
      <x:c r="A35" s="34" t="str">
        <x:v>TKT-001</x:v>
      </x:c>
      <x:c r="B35" s="34" t="str">
        <x:v>MUST</x:v>
      </x:c>
      <x:c r="C35" s="34" t="str">
        <x:v>4.3 工单接入与生命周期</x:v>
      </x:c>
      <x:c r="D35" s="34" t="str">
        <x:v>V1 必须支持 Email、Manual Phone、Monitoring Alert、REST API/Webhook、WhatsApp Conversation 和 Chatbot Handoff 六类来源，并保留原始 Channel 和 Source Record ID；未启用渠道不得暴露公网入口</x:v>
      </x:c>
      <x:c r="E35" s="34" t="str">
        <x:v>FUN-008
FUN-013
FUN-010
FUN-057
FUN-009</x:v>
      </x:c>
      <x:c r="F35" s="34" t="str">
        <x:v>相关功能已映射；不代表整条需求已实现</x:v>
      </x:c>
      <x:c r="G35" s="34" t="str">
        <x:v>按原文全文核对各关联拆分项；实施方案及跨项验收仍需确认。</x:v>
      </x:c>
      <x:c r="H35" s="34" t="str">
        <x:v>未完成验收</x:v>
      </x:c>
    </x:row>
    <x:row r="36" ht="46" customHeight="1">
      <x:c r="A36" s="34" t="str">
        <x:v>TKT-002</x:v>
      </x:c>
      <x:c r="B36" s="34" t="str">
        <x:v>MUST</x:v>
      </x:c>
      <x:c r="C36" s="34" t="str">
        <x:v>4.3 工单接入与生命周期</x:v>
      </x:c>
      <x:c r="D36" s="34" t="str">
        <x:v>根据 Channel、Ticket Type 和 Project Policy 校验必填上下文；未满足时明确标记 Context Incomplete，不得伪造数据</x:v>
      </x:c>
      <x:c r="E36" s="34" t="str">
        <x:v>FUN-008
FUN-014</x:v>
      </x:c>
      <x:c r="F36" s="34" t="str">
        <x:v>相关功能已映射；不代表整条需求已实现</x:v>
      </x:c>
      <x:c r="G36" s="34" t="str">
        <x:v>按原文全文核对各关联拆分项；实施方案及跨项验收仍需确认。</x:v>
      </x:c>
      <x:c r="H36" s="34" t="str">
        <x:v>未完成验收</x:v>
      </x:c>
    </x:row>
    <x:row r="37" ht="52" customHeight="1">
      <x:c r="A37" s="34" t="str">
        <x:v>TKT-003</x:v>
      </x:c>
      <x:c r="B37" s="34" t="str">
        <x:v>MUST</x:v>
      </x:c>
      <x:c r="C37" s="34" t="str">
        <x:v>4.3 工单接入与生命周期</x:v>
      </x:c>
      <x:c r="D37" s="34" t="str">
        <x:v>支持 User Case、Incident、Major Incident、Problem、Known Error 和 Service Request，并允许建立父子、关联、重复和因果关系</x:v>
      </x:c>
      <x:c r="E37" s="34" t="str">
        <x:v>FUN-022
FUN-026
FUN-027</x:v>
      </x:c>
      <x:c r="F37" s="34" t="str">
        <x:v>相关功能已映射；不代表整条需求已实现</x:v>
      </x:c>
      <x:c r="G37" s="34" t="str">
        <x:v>按原文全文核对各关联拆分项；实施方案及跨项验收仍需确认。</x:v>
      </x:c>
      <x:c r="H37" s="34" t="str">
        <x:v>未完成验收</x:v>
      </x:c>
    </x:row>
    <x:row r="38" ht="94" customHeight="1">
      <x:c r="A38" s="34" t="str">
        <x:v>TKT-004</x:v>
      </x:c>
      <x:c r="B38" s="34" t="str">
        <x:v>MUST</x:v>
      </x:c>
      <x:c r="C38" s="34" t="str">
        <x:v>4.3 工单接入与生命周期</x:v>
      </x:c>
      <x:c r="D38" s="34" t="str">
        <x:v>标准状态至少包括 New、Acknowledged、In Triage、Assigned、Waiting、Restored、Resolved、Closure Pending、Closed 和 Cancelled</x:v>
      </x:c>
      <x:c r="E38" s="34" t="str">
        <x:v>FUN-021
FUN-022
FUN-015
FUN-016
FUN-018
FUN-019</x:v>
      </x:c>
      <x:c r="F38" s="34" t="str">
        <x:v>相关功能已映射；不代表整条需求已实现</x:v>
      </x:c>
      <x:c r="G38" s="34" t="str">
        <x:v>按原文全文核对各关联拆分项；实施方案及跨项验收仍需确认。</x:v>
      </x:c>
      <x:c r="H38" s="34" t="str">
        <x:v>未完成验收</x:v>
      </x:c>
    </x:row>
    <x:row r="39" ht="46" customHeight="1">
      <x:c r="A39" s="34" t="str">
        <x:v>TKT-005</x:v>
      </x:c>
      <x:c r="B39" s="34" t="str">
        <x:v>MUST</x:v>
      </x:c>
      <x:c r="C39" s="34" t="str">
        <x:v>4.3 工单接入与生命周期</x:v>
      </x:c>
      <x:c r="D39" s="34" t="str">
        <x:v>Priority 使用 P1-P4 固定语义，并由 Impact、Urgency、Safety、Transaction/Service Reach 和 Workaround 等规则计算或复核</x:v>
      </x:c>
      <x:c r="E39" s="34" t="str">
        <x:v>FUN-023</x:v>
      </x:c>
      <x:c r="F39" s="34" t="str">
        <x:v>相关功能已映射；不代表整条需求已实现</x:v>
      </x:c>
      <x:c r="G39" s="34" t="str">
        <x:v>按原文全文核对各关联拆分项；实施方案及跨项验收仍需确认。</x:v>
      </x:c>
      <x:c r="H39" s="34" t="str">
        <x:v>未完成验收</x:v>
      </x:c>
    </x:row>
    <x:row r="40" ht="46" customHeight="1">
      <x:c r="A40" s="34" t="str">
        <x:v>TKT-006</x:v>
      </x:c>
      <x:c r="B40" s="34" t="str">
        <x:v>MUST</x:v>
      </x:c>
      <x:c r="C40" s="34" t="str">
        <x:v>4.3 工单接入与生命周期</x:v>
      </x:c>
      <x:c r="D40" s="34" t="str">
        <x:v>DayPop 在接受后始终保留 Case Administration Owner；技术责任组可以变化，但不得产生无 Owner 工单</x:v>
      </x:c>
      <x:c r="E40" s="34" t="str">
        <x:v>FUN-024
FUN-015</x:v>
      </x:c>
      <x:c r="F40" s="34" t="str">
        <x:v>相关功能已映射；不代表整条需求已实现</x:v>
      </x:c>
      <x:c r="G40" s="34" t="str">
        <x:v>按原文全文核对各关联拆分项；实施方案及跨项验收仍需确认。</x:v>
      </x:c>
      <x:c r="H40" s="34" t="str">
        <x:v>未完成验收</x:v>
      </x:c>
    </x:row>
    <x:row r="41" ht="46" customHeight="1">
      <x:c r="A41" s="34" t="str">
        <x:v>TKT-007</x:v>
      </x:c>
      <x:c r="B41" s="34" t="str">
        <x:v>MUST</x:v>
      </x:c>
      <x:c r="C41" s="34" t="str">
        <x:v>4.3 工单接入与生命周期</x:v>
      </x:c>
      <x:c r="D41" s="34" t="str">
        <x:v>所有入站附件必须先由 ClamAV 扫描；命中、超限、解压异常或扫描失败均进入 Quarantine</x:v>
      </x:c>
      <x:c r="E41" s="34" t="str">
        <x:v>FUN-083
FUN-084</x:v>
      </x:c>
      <x:c r="F41" s="34" t="str">
        <x:v>相关功能已映射；不代表整条需求已实现</x:v>
      </x:c>
      <x:c r="G41" s="34" t="str">
        <x:v>按原文全文核对各关联拆分项；实施方案及跨项验收仍需确认。</x:v>
      </x:c>
      <x:c r="H41" s="34" t="str">
        <x:v>未完成验收</x:v>
      </x:c>
    </x:row>
    <x:row r="42" ht="46" customHeight="1">
      <x:c r="A42" s="34" t="str">
        <x:v>TKT-008</x:v>
      </x:c>
      <x:c r="B42" s="34" t="str">
        <x:v>MUST</x:v>
      </x:c>
      <x:c r="C42" s="34" t="str">
        <x:v>4.3 工单接入与生命周期</x:v>
      </x:c>
      <x:c r="D42" s="34" t="str">
        <x:v>Email Reply 必须关联正确 Thread；无法可靠匹配时创建待人工关联记录，不得静默附加到错误工单</x:v>
      </x:c>
      <x:c r="E42" s="34" t="str">
        <x:v>FUN-011</x:v>
      </x:c>
      <x:c r="F42" s="34" t="str">
        <x:v>相关功能已映射；不代表整条需求已实现</x:v>
      </x:c>
      <x:c r="G42" s="34" t="str">
        <x:v>按原文全文核对各关联拆分项；实施方案及跨项验收仍需确认。</x:v>
      </x:c>
      <x:c r="H42" s="34" t="str">
        <x:v>未完成验收</x:v>
      </x:c>
    </x:row>
    <x:row r="43" ht="52" customHeight="1">
      <x:c r="A43" s="34" t="str">
        <x:v>TKT-009</x:v>
      </x:c>
      <x:c r="B43" s="34" t="str">
        <x:v>MUST</x:v>
      </x:c>
      <x:c r="C43" s="34" t="str">
        <x:v>4.3 工单接入与生命周期</x:v>
      </x:c>
      <x:c r="D43" s="34" t="str">
        <x:v>用户和内部通知必须使用批准模板、Locale 和敏感信息规则，并保存发送结果</x:v>
      </x:c>
      <x:c r="E43" s="34" t="str">
        <x:v>FUN-063
FUN-061
FUN-017</x:v>
      </x:c>
      <x:c r="F43" s="34" t="str">
        <x:v>相关功能已映射；不代表整条需求已实现</x:v>
      </x:c>
      <x:c r="G43" s="34" t="str">
        <x:v>按原文全文核对各关联拆分项；实施方案及跨项验收仍需确认。</x:v>
      </x:c>
      <x:c r="H43" s="34" t="str">
        <x:v>未完成验收</x:v>
      </x:c>
    </x:row>
    <x:row r="44" ht="46" customHeight="1">
      <x:c r="A44" s="34" t="str">
        <x:v>TKT-010</x:v>
      </x:c>
      <x:c r="B44" s="34" t="str">
        <x:v>MUST</x:v>
      </x:c>
      <x:c r="C44" s="34" t="str">
        <x:v>4.3 工单接入与生命周期</x:v>
      </x:c>
      <x:c r="D44" s="34" t="str">
        <x:v>Duplicate/Merge 必须保留原始 Ticket ID、审计记录、附件归属和 SLA 影响，不得删除原记录</x:v>
      </x:c>
      <x:c r="E44" s="34" t="str">
        <x:v>FUN-025</x:v>
      </x:c>
      <x:c r="F44" s="34" t="str">
        <x:v>相关功能已映射；不代表整条需求已实现</x:v>
      </x:c>
      <x:c r="G44" s="34" t="str">
        <x:v>按原文全文核对各关联拆分项；实施方案及跨项验收仍需确认。</x:v>
      </x:c>
      <x:c r="H44" s="34" t="str">
        <x:v>未完成验收</x:v>
      </x:c>
    </x:row>
    <x:row r="45" ht="46" customHeight="1">
      <x:c r="A45" s="34" t="str">
        <x:v>TKT-011</x:v>
      </x:c>
      <x:c r="B45" s="34" t="str">
        <x:v>SHOULD</x:v>
      </x:c>
      <x:c r="C45" s="34" t="str">
        <x:v>4.3 工单接入与生命周期</x:v>
      </x:c>
      <x:c r="D45" s="34" t="str">
        <x:v>支持批量关联重复用户反馈到一个 Incident 或 Known Error，并保留每个用户 Case 的沟通历史</x:v>
      </x:c>
      <x:c r="E45" s="34" t="str">
        <x:v>FUN-026</x:v>
      </x:c>
      <x:c r="F45" s="34" t="str">
        <x:v>相关功能已映射；不代表整条需求已实现</x:v>
      </x:c>
      <x:c r="G45" s="34" t="str">
        <x:v>按原文全文核对各关联拆分项；实施方案及跨项验收仍需确认。</x:v>
      </x:c>
      <x:c r="H45" s="34" t="str">
        <x:v>未完成验收</x:v>
      </x:c>
    </x:row>
    <x:row r="46" ht="46" customHeight="1">
      <x:c r="A46" s="34" t="str">
        <x:v>DCH-001</x:v>
      </x:c>
      <x:c r="B46" s="34" t="str">
        <x:v>MUST</x:v>
      </x:c>
      <x:c r="C46" s="34" t="str">
        <x:v>4.3.1 WhatsApp 与 Chatbot</x:v>
      </x:c>
      <x:c r="D46" s="34" t="str">
        <x:v>WhatsApp 使用每项目独立的 Chatwoot Community Core 与官方 WhatsApp Cloud API 接入；渠道默认关闭，只有 Project Configuration、商业责任和 Readiness 全部批准后才能开放</x:v>
      </x:c>
      <x:c r="E46" s="34" t="str">
        <x:v>FUN-057
FUN-060</x:v>
      </x:c>
      <x:c r="F46" s="34" t="str">
        <x:v>相关功能已映射；不代表整条需求已实现</x:v>
      </x:c>
      <x:c r="G46" s="34" t="str">
        <x:v>按原文全文核对各关联拆分项；实施方案及跨项验收仍需确认。</x:v>
      </x:c>
      <x:c r="H46" s="34" t="str">
        <x:v>未完成验收</x:v>
      </x:c>
    </x:row>
    <x:row r="47" ht="46" customHeight="1">
      <x:c r="A47" s="34" t="str">
        <x:v>DCH-002</x:v>
      </x:c>
      <x:c r="B47" s="34" t="str">
        <x:v>MUST</x:v>
      </x:c>
      <x:c r="C47" s="34" t="str">
        <x:v>4.3.1 WhatsApp 与 Chatbot</x:v>
      </x:c>
      <x:c r="D47" s="34" t="str">
        <x:v>Conversation、Message、Media、Template、Delivery Status 和 Provider ID 保存在会话事实源；Webhook 必须执行签名/Token 校验、Replay 防护、Idempotency、Retry 和 Dead Letter</x:v>
      </x:c>
      <x:c r="E47" s="34" t="str">
        <x:v>FUN-059</x:v>
      </x:c>
      <x:c r="F47" s="34" t="str">
        <x:v>相关功能已映射；不代表整条需求已实现</x:v>
      </x:c>
      <x:c r="G47" s="34" t="str">
        <x:v>按原文全文核对各关联拆分项；实施方案及跨项验收仍需确认。</x:v>
      </x:c>
      <x:c r="H47" s="34" t="str">
        <x:v>未完成验收</x:v>
      </x:c>
    </x:row>
    <x:row r="48" ht="94" customHeight="1">
      <x:c r="A48" s="34" t="str">
        <x:v>DCH-003</x:v>
      </x:c>
      <x:c r="B48" s="34" t="str">
        <x:v>MUST</x:v>
      </x:c>
      <x:c r="C48" s="34" t="str">
        <x:v>4.3.1 WhatsApp 与 Chatbot</x:v>
      </x:c>
      <x:c r="D48" s="34" t="str">
        <x:v>基础 Chatbot 仅提供已审批知识问答、Intent Triage、结构化信息采集、English/Arabic 语言选择和 Human Handoff，不得自主执行交易、账户、退款、赔付、封禁或 Priority 最终裁决</x:v>
      </x:c>
      <x:c r="E48" s="34" t="str">
        <x:v>FUN-052
FUN-056
FUN-061
FUN-062
FUN-046
FUN-047</x:v>
      </x:c>
      <x:c r="F48" s="34" t="str">
        <x:v>相关功能已映射；不代表整条需求已实现</x:v>
      </x:c>
      <x:c r="G48" s="34" t="str">
        <x:v>按原文全文核对各关联拆分项；实施方案及跨项验收仍需确认。</x:v>
      </x:c>
      <x:c r="H48" s="34" t="str">
        <x:v>未完成验收</x:v>
      </x:c>
    </x:row>
    <x:row r="49" ht="52" customHeight="1">
      <x:c r="A49" s="34" t="str">
        <x:v>DCH-004</x:v>
      </x:c>
      <x:c r="B49" s="34" t="str">
        <x:v>MUST</x:v>
      </x:c>
      <x:c r="C49" s="34" t="str">
        <x:v>4.3.1 WhatsApp 与 Chatbot</x:v>
      </x:c>
      <x:c r="D49" s="34" t="str">
        <x:v>Bot Content、Intent、Flow、Fallback Threshold、Sensitive Intent 和 Escalation Policy 必须版本化、审批并可回滚；低置信度、连续失败、用户要求人工或命中敏感意图时强制转人工</x:v>
      </x:c>
      <x:c r="E49" s="34" t="str">
        <x:v>FUN-054
FUN-053
FUN-056</x:v>
      </x:c>
      <x:c r="F49" s="34" t="str">
        <x:v>相关功能已映射；不代表整条需求已实现</x:v>
      </x:c>
      <x:c r="G49" s="34" t="str">
        <x:v>按原文全文核对各关联拆分项；实施方案及跨项验收仍需确认。</x:v>
      </x:c>
      <x:c r="H49" s="34" t="str">
        <x:v>未完成验收</x:v>
      </x:c>
    </x:row>
    <x:row r="50" ht="46" customHeight="1">
      <x:c r="A50" s="34" t="str">
        <x:v>DCH-005</x:v>
      </x:c>
      <x:c r="B50" s="34" t="str">
        <x:v>MUST</x:v>
      </x:c>
      <x:c r="C50" s="34" t="str">
        <x:v>4.3.1 WhatsApp 与 Chatbot</x:v>
      </x:c>
      <x:c r="D50" s="34" t="str">
        <x:v>Human Handoff 必须创建或关联 GLPI User Case，并携带 Conversation ID、Message/Transcript Reference、Locale、已采集上下文、Attachment Reference、Bot Handoff Reason 和 Consent/Opt-out 状态</x:v>
      </x:c>
      <x:c r="E50" s="34" t="str">
        <x:v>FUN-058
FUN-009</x:v>
      </x:c>
      <x:c r="F50" s="34" t="str">
        <x:v>相关功能已映射；不代表整条需求已实现</x:v>
      </x:c>
      <x:c r="G50" s="34" t="str">
        <x:v>按原文全文核对各关联拆分项；实施方案及跨项验收仍需确认。</x:v>
      </x:c>
      <x:c r="H50" s="34" t="str">
        <x:v>未完成验收</x:v>
      </x:c>
    </x:row>
    <x:row r="51" ht="46" customHeight="1">
      <x:c r="A51" s="34" t="str">
        <x:v>DCH-006</x:v>
      </x:c>
      <x:c r="B51" s="34" t="str">
        <x:v>MUST</x:v>
      </x:c>
      <x:c r="C51" s="34" t="str">
        <x:v>4.3.1 WhatsApp 与 Chatbot</x:v>
      </x:c>
      <x:c r="D51" s="34" t="str">
        <x:v>Chatwoot 是消息与会话事实源，GLPI 是 User Case/Ticket 事实源，Ops Core 保存双向 ID Mapping、Canonical Event、Handoff 和 Reconciliation；不得在两个系统独立修改同一事实</x:v>
      </x:c>
      <x:c r="E51" s="34" t="str">
        <x:v>FUN-058
FUN-009</x:v>
      </x:c>
      <x:c r="F51" s="34" t="str">
        <x:v>相关功能已映射；不代表整条需求已实现</x:v>
      </x:c>
      <x:c r="G51" s="34" t="str">
        <x:v>按原文全文核对各关联拆分项；实施方案及跨项验收仍需确认。</x:v>
      </x:c>
      <x:c r="H51" s="34" t="str">
        <x:v>未完成验收</x:v>
      </x:c>
    </x:row>
    <x:row r="52" ht="46" customHeight="1">
      <x:c r="A52" s="34" t="str">
        <x:v>DCH-007</x:v>
      </x:c>
      <x:c r="B52" s="34" t="str">
        <x:v>MUST</x:v>
      </x:c>
      <x:c r="C52" s="34" t="str">
        <x:v>4.3.1 WhatsApp 与 Chatbot</x:v>
      </x:c>
      <x:c r="D52" s="34" t="str">
        <x:v>数字渠道必须执行 PII 最小化、日志脱敏、Retention、Deletion/Legal Hold、Attachment Scan、访问控制和完整 Audit；Bot 必须可清晰声明身份并支持用户退出自动交互</x:v>
      </x:c>
      <x:c r="E52" s="34" t="str">
        <x:v>FUN-055</x:v>
      </x:c>
      <x:c r="F52" s="34" t="str">
        <x:v>相关功能已映射；不代表整条需求已实现</x:v>
      </x:c>
      <x:c r="G52" s="34" t="str">
        <x:v>按原文全文核对各关联拆分项；实施方案及跨项验收仍需确认。</x:v>
      </x:c>
      <x:c r="H52" s="34" t="str">
        <x:v>未完成验收</x:v>
      </x:c>
    </x:row>
    <x:row r="53" ht="46" customHeight="1">
      <x:c r="A53" s="34" t="str">
        <x:v>DCH-008</x:v>
      </x:c>
      <x:c r="B53" s="34" t="str">
        <x:v>MUST</x:v>
      </x:c>
      <x:c r="C53" s="34" t="str">
        <x:v>4.3.1 WhatsApp 与 Chatbot</x:v>
      </x:c>
      <x:c r="D53" s="34" t="str">
        <x:v>Meta/WhatsApp、Chatwoot 或 Bot 故障必须进入可见 Backlog/Retry 并触发告警；项目 Runbook 必须定义 Phone/Email 或人工接管的降级路径</x:v>
      </x:c>
      <x:c r="E53" s="34" t="str">
        <x:v>FUN-059
FUN-060</x:v>
      </x:c>
      <x:c r="F53" s="34" t="str">
        <x:v>相关功能已映射；不代表整条需求已实现</x:v>
      </x:c>
      <x:c r="G53" s="34" t="str">
        <x:v>按原文全文核对各关联拆分项；实施方案及跨项验收仍需确认。</x:v>
      </x:c>
      <x:c r="H53" s="34" t="str">
        <x:v>未完成验收</x:v>
      </x:c>
    </x:row>
    <x:row r="54" ht="46" customHeight="1">
      <x:c r="A54" s="34" t="str">
        <x:v>DCH-009</x:v>
      </x:c>
      <x:c r="B54" s="34" t="str">
        <x:v>SHOULD</x:v>
      </x:c>
      <x:c r="C54" s="34" t="str">
        <x:v>4.3.1 WhatsApp 与 Chatbot</x:v>
      </x:c>
      <x:c r="D54" s="34" t="str">
        <x:v>Bot Runtime 采用 Provider-neutral Adapter；Rasa OSS、规则引擎或未来 LLM Provider 的切换不得改变 Conversation-to-Ticket Contract 和核心事件模型</x:v>
      </x:c>
      <x:c r="E54" s="34" t="str">
        <x:v>未单列</x:v>
      </x:c>
      <x:c r="F54" s="34" t="str">
        <x:v>原 90 项未单列；不能从业务完成比例推定满足</x:v>
      </x:c>
      <x:c r="G54" s="34" t="str">
        <x:v>保留原文边界/工程约束，加入相应模块验收；未单列不表示可忽略。</x:v>
      </x:c>
      <x:c r="H54" s="34" t="str">
        <x:v>未完成验收</x:v>
      </x:c>
    </x:row>
    <x:row r="55" ht="46" customHeight="1">
      <x:c r="A55" s="34" t="str">
        <x:v>REG-001</x:v>
      </x:c>
      <x:c r="B55" s="34" t="str">
        <x:v>MUST</x:v>
      </x:c>
      <x:c r="C55" s="34" t="str">
        <x:v>4.4 Service / Component / Expert Registry</x:v>
      </x:c>
      <x:c r="D55" s="34" t="str">
        <x:v>每个 Active Service/Component 必须配置 Support Group、Owner、Coverage Calendar、Escalation Route 和 Active Period</x:v>
      </x:c>
      <x:c r="E55" s="34" t="str">
        <x:v>FUN-028
FUN-029</x:v>
      </x:c>
      <x:c r="F55" s="34" t="str">
        <x:v>相关功能已映射；不代表整条需求已实现</x:v>
      </x:c>
      <x:c r="G55" s="34" t="str">
        <x:v>按原文全文核对各关联拆分项；实施方案及跨项验收仍需确认。</x:v>
      </x:c>
      <x:c r="H55" s="34" t="str">
        <x:v>未完成验收</x:v>
      </x:c>
    </x:row>
    <x:row r="56" ht="46" customHeight="1">
      <x:c r="A56" s="34" t="str">
        <x:v>REG-002</x:v>
      </x:c>
      <x:c r="B56" s="34" t="str">
        <x:v>MUST</x:v>
      </x:c>
      <x:c r="C56" s="34" t="str">
        <x:v>4.4 Service / Component / Expert Registry</x:v>
      </x:c>
      <x:c r="D56" s="34" t="str">
        <x:v>非 DayPop 组件必须配置 External Expert、Contact Route、OLA Profile、Contract/Support Reference 和替代升级路径</x:v>
      </x:c>
      <x:c r="E56" s="34" t="str">
        <x:v>FUN-030
FUN-033</x:v>
      </x:c>
      <x:c r="F56" s="34" t="str">
        <x:v>相关功能已映射；不代表整条需求已实现</x:v>
      </x:c>
      <x:c r="G56" s="34" t="str">
        <x:v>按原文全文核对各关联拆分项；实施方案及跨项验收仍需确认。</x:v>
      </x:c>
      <x:c r="H56" s="34" t="str">
        <x:v>未完成验收</x:v>
      </x:c>
    </x:row>
    <x:row r="57" ht="46" customHeight="1">
      <x:c r="A57" s="34" t="str">
        <x:v>REG-003</x:v>
      </x:c>
      <x:c r="B57" s="34" t="str">
        <x:v>MUST</x:v>
      </x:c>
      <x:c r="C57" s="34" t="str">
        <x:v>4.4 Service / Component / Expert Registry</x:v>
      </x:c>
      <x:c r="D57" s="34" t="str">
        <x:v>Registry 记录必须 Versioned 和 Effective-dated；工单保留其发生时所使用的版本</x:v>
      </x:c>
      <x:c r="E57" s="34" t="str">
        <x:v>FUN-034</x:v>
      </x:c>
      <x:c r="F57" s="34" t="str">
        <x:v>相关功能已映射；不代表整条需求已实现</x:v>
      </x:c>
      <x:c r="G57" s="34" t="str">
        <x:v>按原文全文核对各关联拆分项；实施方案及跨项验收仍需确认。</x:v>
      </x:c>
      <x:c r="H57" s="34" t="str">
        <x:v>未完成验收</x:v>
      </x:c>
    </x:row>
    <x:row r="58" ht="46" customHeight="1">
      <x:c r="A58" s="34" t="str">
        <x:v>REG-004</x:v>
      </x:c>
      <x:c r="B58" s="34" t="str">
        <x:v>MUST</x:v>
      </x:c>
      <x:c r="C58" s="34" t="str">
        <x:v>4.4 Service / Component / Expert Registry</x:v>
      </x:c>
      <x:c r="D58" s="34" t="str">
        <x:v>Expert Handoff 必须包含问题描述、影响、已执行动作、证据、时间线和明确问题；Handback 必须满足配置的返回条件</x:v>
      </x:c>
      <x:c r="E58" s="34" t="str">
        <x:v>FUN-031
FUN-032</x:v>
      </x:c>
      <x:c r="F58" s="34" t="str">
        <x:v>相关功能已映射；不代表整条需求已实现</x:v>
      </x:c>
      <x:c r="G58" s="34" t="str">
        <x:v>按原文全文核对各关联拆分项；实施方案及跨项验收仍需确认。</x:v>
      </x:c>
      <x:c r="H58" s="34" t="str">
        <x:v>未完成验收</x:v>
      </x:c>
    </x:row>
    <x:row r="59" ht="46" customHeight="1">
      <x:c r="A59" s="34" t="str">
        <x:v>REG-005</x:v>
      </x:c>
      <x:c r="B59" s="34" t="str">
        <x:v>MUST</x:v>
      </x:c>
      <x:c r="C59" s="34" t="str">
        <x:v>4.4 Service / Component / Expert Registry</x:v>
      </x:c>
      <x:c r="D59" s="34" t="str">
        <x:v>缺少 Expert、Access、Knowledge、Monitoring 或 OLA 的组件必须显示 Restricted Support 状态和原因</x:v>
      </x:c>
      <x:c r="E59" s="34" t="str">
        <x:v>FUN-035</x:v>
      </x:c>
      <x:c r="F59" s="34" t="str">
        <x:v>相关功能已映射；不代表整条需求已实现</x:v>
      </x:c>
      <x:c r="G59" s="34" t="str">
        <x:v>按原文全文核对各关联拆分项；实施方案及跨项验收仍需确认。</x:v>
      </x:c>
      <x:c r="H59" s="34" t="str">
        <x:v>未完成验收</x:v>
      </x:c>
    </x:row>
    <x:row r="60" ht="46" customHeight="1">
      <x:c r="A60" s="34" t="str">
        <x:v>REG-006</x:v>
      </x:c>
      <x:c r="B60" s="34" t="str">
        <x:v>SHOULD</x:v>
      </x:c>
      <x:c r="C60" s="34" t="str">
        <x:v>4.4 Service / Component / Expert Registry</x:v>
      </x:c>
      <x:c r="D60" s="34" t="str">
        <x:v>Registry 变更应自动触发受影响项目的 Readiness Review</x:v>
      </x:c>
      <x:c r="E60" s="34" t="str">
        <x:v>FUN-036</x:v>
      </x:c>
      <x:c r="F60" s="34" t="str">
        <x:v>相关功能已映射；不代表整条需求已实现</x:v>
      </x:c>
      <x:c r="G60" s="34" t="str">
        <x:v>按原文全文核对各关联拆分项；实施方案及跨项验收仍需确认。</x:v>
      </x:c>
      <x:c r="H60" s="34" t="str">
        <x:v>未完成验收</x:v>
      </x:c>
    </x:row>
    <x:row r="61" ht="46" customHeight="1">
      <x:c r="A61" s="34" t="str">
        <x:v>EVT-001</x:v>
      </x:c>
      <x:c r="B61" s="34" t="str">
        <x:v>MUST</x:v>
      </x:c>
      <x:c r="C61" s="34" t="str">
        <x:v>4.5 Canonical Event 与一致性</x:v>
      </x:c>
      <x:c r="D61" s="34" t="str">
        <x:v>Ops Core 必须保存 Append-only Canonical Event，至少包含 event_id、project_id、source、source_record_id、event_type、occurred_at、received_at、actor、correlation_id、payload_hash、idempotency_key 和 schema_version</x:v>
      </x:c>
      <x:c r="E61" s="34" t="str">
        <x:v>未单列</x:v>
      </x:c>
      <x:c r="F61" s="34" t="str">
        <x:v>原 90 项未单列；不能从业务完成比例推定满足</x:v>
      </x:c>
      <x:c r="G61" s="34" t="str">
        <x:v>架构/工程工作单独核查。当前自研系统不能凭相似界面视为符合 GLPI/Ops Core 和每项目独立部署基线；需遵循原设计或取得变更批准。</x:v>
      </x:c>
      <x:c r="H61" s="34" t="str">
        <x:v>未完成验收</x:v>
      </x:c>
    </x:row>
    <x:row r="62" ht="46" customHeight="1">
      <x:c r="A62" s="34" t="str">
        <x:v>EVT-002</x:v>
      </x:c>
      <x:c r="B62" s="34" t="str">
        <x:v>MUST</x:v>
      </x:c>
      <x:c r="C62" s="34" t="str">
        <x:v>4.5 Canonical Event 与一致性</x:v>
      </x:c>
      <x:c r="D62" s="34" t="str">
        <x:v>所有写入接口必须实现 Idempotency；同 Key 同 Payload 返回原结果，同 Key 不同 Payload 返回 Conflict</x:v>
      </x:c>
      <x:c r="E62" s="34" t="str">
        <x:v>FUN-013</x:v>
      </x:c>
      <x:c r="F62" s="34" t="str">
        <x:v>相关功能已映射；不代表整条需求已实现</x:v>
      </x:c>
      <x:c r="G62" s="34" t="str">
        <x:v>架构/工程工作单独核查。当前自研系统不能凭相似界面视为符合 GLPI/Ops Core 和每项目独立部署基线；需遵循原设计或取得变更批准。</x:v>
      </x:c>
      <x:c r="H62" s="34" t="str">
        <x:v>未完成验收</x:v>
      </x:c>
    </x:row>
    <x:row r="63" ht="46" customHeight="1">
      <x:c r="A63" s="34" t="str">
        <x:v>EVT-003</x:v>
      </x:c>
      <x:c r="B63" s="34" t="str">
        <x:v>MUST</x:v>
      </x:c>
      <x:c r="C63" s="34" t="str">
        <x:v>4.5 Canonical Event 与一致性</x:v>
      </x:c>
      <x:c r="D63" s="34" t="str">
        <x:v>当前 Ticket、Clock、Dependency、Usage 和 Reporting 状态必须从事件生成 Projection，并可从事件重建</x:v>
      </x:c>
      <x:c r="E63" s="34" t="str">
        <x:v>FUN-079</x:v>
      </x:c>
      <x:c r="F63" s="34" t="str">
        <x:v>相关功能已映射；不代表整条需求已实现</x:v>
      </x:c>
      <x:c r="G63" s="34" t="str">
        <x:v>架构/工程工作单独核查。当前自研系统不能凭相似界面视为符合 GLPI/Ops Core 和每项目独立部署基线；需遵循原设计或取得变更批准。</x:v>
      </x:c>
      <x:c r="H63" s="34" t="str">
        <x:v>未完成验收</x:v>
      </x:c>
    </x:row>
    <x:row r="64" ht="46" customHeight="1">
      <x:c r="A64" s="34" t="str">
        <x:v>EVT-004</x:v>
      </x:c>
      <x:c r="B64" s="34" t="str">
        <x:v>MUST</x:v>
      </x:c>
      <x:c r="C64" s="34" t="str">
        <x:v>4.5 Canonical Event 与一致性</x:v>
      </x:c>
      <x:c r="D64" s="34" t="str">
        <x:v>GLPI 集成采用 Webhook/API 实时同步与 Read-only DB 夜间对账；严禁直接写 GLPI 数据库</x:v>
      </x:c>
      <x:c r="E64" s="34" t="str">
        <x:v>未单列</x:v>
      </x:c>
      <x:c r="F64" s="34" t="str">
        <x:v>原 90 项未单列；不能从业务完成比例推定满足</x:v>
      </x:c>
      <x:c r="G64" s="34" t="str">
        <x:v>架构/工程工作单独核查。当前自研系统不能凭相似界面视为符合 GLPI/Ops Core 和每项目独立部署基线；需遵循原设计或取得变更批准。</x:v>
      </x:c>
      <x:c r="H64" s="34" t="str">
        <x:v>未完成验收</x:v>
      </x:c>
    </x:row>
    <x:row r="65" ht="46" customHeight="1">
      <x:c r="A65" s="34" t="str">
        <x:v>EVT-005</x:v>
      </x:c>
      <x:c r="B65" s="34" t="str">
        <x:v>MUST</x:v>
      </x:c>
      <x:c r="C65" s="34" t="str">
        <x:v>4.5 Canonical Event 与一致性</x:v>
      </x:c>
      <x:c r="D65" s="34" t="str">
        <x:v>V1 不引入独立 Message Broker；异步工作使用 PostgreSQL Job/Outbox、Lease、Retry、Dead Letter 和可重放机制</x:v>
      </x:c>
      <x:c r="E65" s="34" t="str">
        <x:v>未单列</x:v>
      </x:c>
      <x:c r="F65" s="34" t="str">
        <x:v>原 90 项未单列；不能从业务完成比例推定满足</x:v>
      </x:c>
      <x:c r="G65" s="34" t="str">
        <x:v>架构/工程工作单独核查。当前自研系统不能凭相似界面视为符合 GLPI/Ops Core 和每项目独立部署基线；需遵循原设计或取得变更批准。</x:v>
      </x:c>
      <x:c r="H65" s="34" t="str">
        <x:v>未完成验收</x:v>
      </x:c>
    </x:row>
    <x:row r="66" ht="46" customHeight="1">
      <x:c r="A66" s="34" t="str">
        <x:v>EVT-006</x:v>
      </x:c>
      <x:c r="B66" s="34" t="str">
        <x:v>MUST</x:v>
      </x:c>
      <x:c r="C66" s="34" t="str">
        <x:v>4.5 Canonical Event 与一致性</x:v>
      </x:c>
      <x:c r="D66" s="34" t="str">
        <x:v>事件 Schema 必须 Versioned；破坏性变更只能通过新 Major Version 和 Migration 实现</x:v>
      </x:c>
      <x:c r="E66" s="34" t="str">
        <x:v>未单列</x:v>
      </x:c>
      <x:c r="F66" s="34" t="str">
        <x:v>原 90 项未单列；不能从业务完成比例推定满足</x:v>
      </x:c>
      <x:c r="G66" s="34" t="str">
        <x:v>架构/工程工作单独核查。当前自研系统不能凭相似界面视为符合 GLPI/Ops Core 和每项目独立部署基线；需遵循原设计或取得变更批准。</x:v>
      </x:c>
      <x:c r="H66" s="34" t="str">
        <x:v>未完成验收</x:v>
      </x:c>
    </x:row>
    <x:row r="67" ht="46" customHeight="1">
      <x:c r="A67" s="34" t="str">
        <x:v>EVT-007</x:v>
      </x:c>
      <x:c r="B67" s="34" t="str">
        <x:v>MUST</x:v>
      </x:c>
      <x:c r="C67" s="34" t="str">
        <x:v>4.5 Canonical Event 与一致性</x:v>
      </x:c>
      <x:c r="D67" s="34" t="str">
        <x:v>Reconciliation 发现差异时必须记录差异类型、来源、修复动作和审计证据，不得静默覆盖</x:v>
      </x:c>
      <x:c r="E67" s="34" t="str">
        <x:v>FUN-079</x:v>
      </x:c>
      <x:c r="F67" s="34" t="str">
        <x:v>相关功能已映射；不代表整条需求已实现</x:v>
      </x:c>
      <x:c r="G67" s="34" t="str">
        <x:v>架构/工程工作单独核查。当前自研系统不能凭相似界面视为符合 GLPI/Ops Core 和每项目独立部署基线；需遵循原设计或取得变更批准。</x:v>
      </x:c>
      <x:c r="H67" s="34" t="str">
        <x:v>未完成验收</x:v>
      </x:c>
    </x:row>
    <x:row r="68" ht="46" customHeight="1">
      <x:c r="A68" s="34" t="str">
        <x:v>SLA-001</x:v>
      </x:c>
      <x:c r="B68" s="34" t="str">
        <x:v>MUST</x:v>
      </x:c>
      <x:c r="C68" s="34" t="str">
        <x:v>4.6 Service Target、SLA 与 OLA</x:v>
      </x:c>
      <x:c r="D68" s="34" t="str">
        <x:v>对每个工单同时计算 End-to-end Elapsed Clock 与 DayPop Accountable Clock</x:v>
      </x:c>
      <x:c r="E68" s="34" t="str">
        <x:v>FUN-040</x:v>
      </x:c>
      <x:c r="F68" s="34" t="str">
        <x:v>相关功能已映射；不代表整条需求已实现</x:v>
      </x:c>
      <x:c r="G68" s="34" t="str">
        <x:v>按原文全文核对各关联拆分项；实施方案及跨项验收仍需确认。</x:v>
      </x:c>
      <x:c r="H68" s="34" t="str">
        <x:v>未完成验收</x:v>
      </x:c>
    </x:row>
    <x:row r="69" ht="46" customHeight="1">
      <x:c r="A69" s="34" t="str">
        <x:v>SLA-002</x:v>
      </x:c>
      <x:c r="B69" s="34" t="str">
        <x:v>MUST</x:v>
      </x:c>
      <x:c r="C69" s="34" t="str">
        <x:v>4.6 Service Target、SLA 与 OLA</x:v>
      </x:c>
      <x:c r="D69" s="34" t="str">
        <x:v>支持 Standard、Enhanced、Mission Critical Profile；Target 值按项目配置，不在产品代码中硬编码</x:v>
      </x:c>
      <x:c r="E69" s="34" t="str">
        <x:v>FUN-038</x:v>
      </x:c>
      <x:c r="F69" s="34" t="str">
        <x:v>相关功能已映射；不代表整条需求已实现</x:v>
      </x:c>
      <x:c r="G69" s="34" t="str">
        <x:v>按原文全文核对各关联拆分项；实施方案及跨项验收仍需确认。</x:v>
      </x:c>
      <x:c r="H69" s="34" t="str">
        <x:v>未完成验收</x:v>
      </x:c>
    </x:row>
    <x:row r="70" ht="46" customHeight="1">
      <x:c r="A70" s="34" t="str">
        <x:v>SLA-003</x:v>
      </x:c>
      <x:c r="B70" s="34" t="str">
        <x:v>MUST</x:v>
      </x:c>
      <x:c r="C70" s="34" t="str">
        <x:v>4.6 Service Target、SLA 与 OLA</x:v>
      </x:c>
      <x:c r="D70" s="34" t="str">
        <x:v>支持 24x7、Business Hours、Holiday、Timezone 和 DST，时间统一存 UTC</x:v>
      </x:c>
      <x:c r="E70" s="34" t="str">
        <x:v>FUN-039</x:v>
      </x:c>
      <x:c r="F70" s="34" t="str">
        <x:v>相关功能已映射；不代表整条需求已实现</x:v>
      </x:c>
      <x:c r="G70" s="34" t="str">
        <x:v>按原文全文核对各关联拆分项；实施方案及跨项验收仍需确认。</x:v>
      </x:c>
      <x:c r="H70" s="34" t="str">
        <x:v>未完成验收</x:v>
      </x:c>
    </x:row>
    <x:row r="71" ht="46" customHeight="1">
      <x:c r="A71" s="34" t="str">
        <x:v>SLA-004</x:v>
      </x:c>
      <x:c r="B71" s="34" t="str">
        <x:v>MUST</x:v>
      </x:c>
      <x:c r="C71" s="34" t="str">
        <x:v>4.6 Service Target、SLA 与 OLA</x:v>
      </x:c>
      <x:c r="D71" s="34" t="str">
        <x:v>暂停原因仅允许 DayPop Active、External Expert、Customer/Authority Pending、Planned Maintenance、Approved Hold 和 Stopped 等受控状态迁移</x:v>
      </x:c>
      <x:c r="E71" s="34" t="str">
        <x:v>FUN-041</x:v>
      </x:c>
      <x:c r="F71" s="34" t="str">
        <x:v>相关功能已映射；不代表整条需求已实现</x:v>
      </x:c>
      <x:c r="G71" s="34" t="str">
        <x:v>按原文全文核对各关联拆分项；实施方案及跨项验收仍需确认。</x:v>
      </x:c>
      <x:c r="H71" s="34" t="str">
        <x:v>未完成验收</x:v>
      </x:c>
    </x:row>
    <x:row r="72" ht="46" customHeight="1">
      <x:c r="A72" s="34" t="str">
        <x:v>SLA-005</x:v>
      </x:c>
      <x:c r="B72" s="34" t="str">
        <x:v>MUST</x:v>
      </x:c>
      <x:c r="C72" s="34" t="str">
        <x:v>4.6 Service Target、SLA 与 OLA</x:v>
      </x:c>
      <x:c r="D72" s="34" t="str">
        <x:v>Acknowledgement、First Response、Update Cadence、Escalation、Restore 和 Resolve 必须分别计时、预警和报告</x:v>
      </x:c>
      <x:c r="E72" s="34" t="str">
        <x:v>FUN-037
FUN-043</x:v>
      </x:c>
      <x:c r="F72" s="34" t="str">
        <x:v>相关功能已映射；不代表整条需求已实现</x:v>
      </x:c>
      <x:c r="G72" s="34" t="str">
        <x:v>按原文全文核对各关联拆分项；实施方案及跨项验收仍需确认。</x:v>
      </x:c>
      <x:c r="H72" s="34" t="str">
        <x:v>未完成验收</x:v>
      </x:c>
    </x:row>
    <x:row r="73" ht="46" customHeight="1">
      <x:c r="A73" s="34" t="str">
        <x:v>SLA-006</x:v>
      </x:c>
      <x:c r="B73" s="34" t="str">
        <x:v>MUST</x:v>
      </x:c>
      <x:c r="C73" s="34" t="str">
        <x:v>4.6 Service Target、SLA 与 OLA</x:v>
      </x:c>
      <x:c r="D73" s="34" t="str">
        <x:v>Generic Pending 不得暂停任何可归责时钟；暂停必须保存 Reason Code、Owner、Effective Time、Evidence 和批准主体</x:v>
      </x:c>
      <x:c r="E73" s="34" t="str">
        <x:v>FUN-042</x:v>
      </x:c>
      <x:c r="F73" s="34" t="str">
        <x:v>相关功能已映射；不代表整条需求已实现</x:v>
      </x:c>
      <x:c r="G73" s="34" t="str">
        <x:v>按原文全文核对各关联拆分项；实施方案及跨项验收仍需确认。</x:v>
      </x:c>
      <x:c r="H73" s="34" t="str">
        <x:v>未完成验收</x:v>
      </x:c>
    </x:row>
    <x:row r="74" ht="46" customHeight="1">
      <x:c r="A74" s="34" t="str">
        <x:v>SLA-007</x:v>
      </x:c>
      <x:c r="B74" s="34" t="str">
        <x:v>MUST</x:v>
      </x:c>
      <x:c r="C74" s="34" t="str">
        <x:v>4.6 Service Target、SLA 与 OLA</x:v>
      </x:c>
      <x:c r="D74" s="34" t="str">
        <x:v>P1/P2 目标即将违约时自动升级；对 External Expert 的等待同时显示 OLA 与端到端影响</x:v>
      </x:c>
      <x:c r="E74" s="34" t="str">
        <x:v>FUN-044
FUN-033</x:v>
      </x:c>
      <x:c r="F74" s="34" t="str">
        <x:v>相关功能已映射；不代表整条需求已实现</x:v>
      </x:c>
      <x:c r="G74" s="34" t="str">
        <x:v>按原文全文核对各关联拆分项；实施方案及跨项验收仍需确认。</x:v>
      </x:c>
      <x:c r="H74" s="34" t="str">
        <x:v>未完成验收</x:v>
      </x:c>
    </x:row>
    <x:row r="75" ht="46" customHeight="1">
      <x:c r="A75" s="34" t="str">
        <x:v>SLA-008</x:v>
      </x:c>
      <x:c r="B75" s="34" t="str">
        <x:v>SHOULD</x:v>
      </x:c>
      <x:c r="C75" s="34" t="str">
        <x:v>4.6 Service Target、SLA 与 OLA</x:v>
      </x:c>
      <x:c r="D75" s="34" t="str">
        <x:v>支持目标模拟器，在修改 Calendar、Priority 或 Target Profile 前计算历史影响</x:v>
      </x:c>
      <x:c r="E75" s="34" t="str">
        <x:v>FUN-045</x:v>
      </x:c>
      <x:c r="F75" s="34" t="str">
        <x:v>相关功能已映射；不代表整条需求已实现</x:v>
      </x:c>
      <x:c r="G75" s="34" t="str">
        <x:v>按原文全文核对各关联拆分项；实施方案及跨项验收仍需确认。</x:v>
      </x:c>
      <x:c r="H75" s="34" t="str">
        <x:v>未完成验收</x:v>
      </x:c>
    </x:row>
    <x:row r="76" ht="46" customHeight="1">
      <x:c r="A76" s="34" t="str">
        <x:v>MON-001</x:v>
      </x:c>
      <x:c r="B76" s="34" t="str">
        <x:v>MUST</x:v>
      </x:c>
      <x:c r="C76" s="34" t="str">
        <x:v>4.7 Monitoring、Alerting 与 Incident Correlation</x:v>
      </x:c>
      <x:c r="D76" s="34" t="str">
        <x:v>每项目部署独立 Prometheus、Alertmanager、Grafana、Loki、OpenTelemetry Collector 和 Blackbox Exporter</x:v>
      </x:c>
      <x:c r="E76" s="34" t="str">
        <x:v>未单列</x:v>
      </x:c>
      <x:c r="F76" s="34" t="str">
        <x:v>原 90 项未单列；不能从业务完成比例推定满足</x:v>
      </x:c>
      <x:c r="G76" s="34" t="str">
        <x:v>架构/工程工作单独核查。当前自研系统不能凭相似界面视为符合 GLPI/Ops Core 和每项目独立部署基线；需遵循原设计或取得变更批准。</x:v>
      </x:c>
      <x:c r="H76" s="34" t="str">
        <x:v>未完成验收</x:v>
      </x:c>
    </x:row>
    <x:row r="77" ht="46" customHeight="1">
      <x:c r="A77" s="34" t="str">
        <x:v>MON-002</x:v>
      </x:c>
      <x:c r="B77" s="34" t="str">
        <x:v>MUST</x:v>
      </x:c>
      <x:c r="C77" s="34" t="str">
        <x:v>4.7 Monitoring、Alerting 与 Incident Correlation</x:v>
      </x:c>
      <x:c r="D77" s="34" t="str">
        <x:v>支持 HTTP、TCP、DNS 和经批准的 Synthetic Probe；不得绕过授权或制造交易数据风险</x:v>
      </x:c>
      <x:c r="E77" s="34" t="str">
        <x:v>FUN-064</x:v>
      </x:c>
      <x:c r="F77" s="34" t="str">
        <x:v>相关功能已映射；不代表整条需求已实现</x:v>
      </x:c>
      <x:c r="G77" s="34" t="str">
        <x:v>按原文全文核对各关联拆分项；实施方案及跨项验收仍需确认。</x:v>
      </x:c>
      <x:c r="H77" s="34" t="str">
        <x:v>未完成验收</x:v>
      </x:c>
    </x:row>
    <x:row r="78" ht="46" customHeight="1">
      <x:c r="A78" s="34" t="str">
        <x:v>MON-003</x:v>
      </x:c>
      <x:c r="B78" s="34" t="str">
        <x:v>MUST</x:v>
      </x:c>
      <x:c r="C78" s="34" t="str">
        <x:v>4.7 Monitoring、Alerting 与 Incident Correlation</x:v>
      </x:c>
      <x:c r="D78" s="34" t="str">
        <x:v>Alertmanager 必须配置 Grouping、Deduplication、Inhibition、Silence、Routing 和 Retry</x:v>
      </x:c>
      <x:c r="E78" s="34" t="str">
        <x:v>FUN-066</x:v>
      </x:c>
      <x:c r="F78" s="34" t="str">
        <x:v>相关功能已映射；不代表整条需求已实现</x:v>
      </x:c>
      <x:c r="G78" s="34" t="str">
        <x:v>按原文全文核对各关联拆分项；实施方案及跨项验收仍需确认。</x:v>
      </x:c>
      <x:c r="H78" s="34" t="str">
        <x:v>未完成验收</x:v>
      </x:c>
    </x:row>
    <x:row r="79" ht="46" customHeight="1">
      <x:c r="A79" s="34" t="str">
        <x:v>MON-004</x:v>
      </x:c>
      <x:c r="B79" s="34" t="str">
        <x:v>MUST</x:v>
      </x:c>
      <x:c r="C79" s="34" t="str">
        <x:v>4.7 Monitoring、Alerting 与 Incident Correlation</x:v>
      </x:c>
      <x:c r="D79" s="34" t="str">
        <x:v>Alert 可创建 Incident 或关联现有 Incident；Correlation 必须基于 Project、Service、Component、Fingerprint 和时间窗口</x:v>
      </x:c>
      <x:c r="E79" s="34" t="str">
        <x:v>FUN-065</x:v>
      </x:c>
      <x:c r="F79" s="34" t="str">
        <x:v>相关功能已映射；不代表整条需求已实现</x:v>
      </x:c>
      <x:c r="G79" s="34" t="str">
        <x:v>按原文全文核对各关联拆分项；实施方案及跨项验收仍需确认。</x:v>
      </x:c>
      <x:c r="H79" s="34" t="str">
        <x:v>未完成验收</x:v>
      </x:c>
    </x:row>
    <x:row r="80" ht="46" customHeight="1">
      <x:c r="A80" s="34" t="str">
        <x:v>MON-005</x:v>
      </x:c>
      <x:c r="B80" s="34" t="str">
        <x:v>MUST</x:v>
      </x:c>
      <x:c r="C80" s="34" t="str">
        <x:v>4.7 Monitoring、Alerting 与 Incident Correlation</x:v>
      </x:c>
      <x:c r="D80" s="34" t="str">
        <x:v>平台只监控可合法获取的指标、日志、Health Endpoint 和状态；缺少 Instrumentation 时标记 Coverage Gap</x:v>
      </x:c>
      <x:c r="E80" s="34" t="str">
        <x:v>FUN-068</x:v>
      </x:c>
      <x:c r="F80" s="34" t="str">
        <x:v>相关功能已映射；不代表整条需求已实现</x:v>
      </x:c>
      <x:c r="G80" s="34" t="str">
        <x:v>按原文全文核对各关联拆分项；实施方案及跨项验收仍需确认。</x:v>
      </x:c>
      <x:c r="H80" s="34" t="str">
        <x:v>未完成验收</x:v>
      </x:c>
    </x:row>
    <x:row r="81" ht="46" customHeight="1">
      <x:c r="A81" s="34" t="str">
        <x:v>MON-006</x:v>
      </x:c>
      <x:c r="B81" s="34" t="str">
        <x:v>MUST</x:v>
      </x:c>
      <x:c r="C81" s="34" t="str">
        <x:v>4.7 Monitoring、Alerting 与 Incident Correlation</x:v>
      </x:c>
      <x:c r="D81" s="34" t="str">
        <x:v>Monitoring Alert 关闭不得自动关闭用户 Case；Closure 必须由可验证的 Restore/Resolve 证据驱动</x:v>
      </x:c>
      <x:c r="E81" s="34" t="str">
        <x:v>FUN-067</x:v>
      </x:c>
      <x:c r="F81" s="34" t="str">
        <x:v>相关功能已映射；不代表整条需求已实现</x:v>
      </x:c>
      <x:c r="G81" s="34" t="str">
        <x:v>按原文全文核对各关联拆分项；实施方案及跨项验收仍需确认。</x:v>
      </x:c>
      <x:c r="H81" s="34" t="str">
        <x:v>未完成验收</x:v>
      </x:c>
    </x:row>
    <x:row r="82" ht="46" customHeight="1">
      <x:c r="A82" s="34" t="str">
        <x:v>MON-007</x:v>
      </x:c>
      <x:c r="B82" s="34" t="str">
        <x:v>SHOULD</x:v>
      </x:c>
      <x:c r="C82" s="34" t="str">
        <x:v>4.7 Monitoring、Alerting 与 Incident Correlation</x:v>
      </x:c>
      <x:c r="D82" s="34" t="str">
        <x:v>支持 Maintenance Window 与 Alert Suppression，但仍保留原始事件和抑制原因</x:v>
      </x:c>
      <x:c r="E82" s="34" t="str">
        <x:v>FUN-066</x:v>
      </x:c>
      <x:c r="F82" s="34" t="str">
        <x:v>相关功能已映射；不代表整条需求已实现</x:v>
      </x:c>
      <x:c r="G82" s="34" t="str">
        <x:v>按原文全文核对各关联拆分项；实施方案及跨项验收仍需确认。</x:v>
      </x:c>
      <x:c r="H82" s="34" t="str">
        <x:v>未完成验收</x:v>
      </x:c>
    </x:row>
    <x:row r="83" ht="46" customHeight="1">
      <x:c r="A83" s="34" t="str">
        <x:v>KB-001</x:v>
      </x:c>
      <x:c r="B83" s="34" t="str">
        <x:v>MUST</x:v>
      </x:c>
      <x:c r="C83" s="34" t="str">
        <x:v>4.8 Knowledge 与 Runbook</x:v>
      </x:c>
      <x:c r="D83" s="34" t="str">
        <x:v>V1 使用 GLPI 原生 Knowledge Base 保存批准的内部文章、Script 和 Runbook</x:v>
      </x:c>
      <x:c r="E83" s="34" t="str">
        <x:v>FUN-046</x:v>
      </x:c>
      <x:c r="F83" s="34" t="str">
        <x:v>相关功能已映射；不代表整条需求已实现</x:v>
      </x:c>
      <x:c r="G83" s="34" t="str">
        <x:v>按原文全文核对各关联拆分项；实施方案及跨项验收仍需确认。</x:v>
      </x:c>
      <x:c r="H83" s="34" t="str">
        <x:v>未完成验收</x:v>
      </x:c>
    </x:row>
    <x:row r="84" ht="46" customHeight="1">
      <x:c r="A84" s="34" t="str">
        <x:v>KB-002</x:v>
      </x:c>
      <x:c r="B84" s="34" t="str">
        <x:v>MUST</x:v>
      </x:c>
      <x:c r="C84" s="34" t="str">
        <x:v>4.8 Knowledge 与 Runbook</x:v>
      </x:c>
      <x:c r="D84" s="34" t="str">
        <x:v>Ops Core 保存 Article Version、Approval State、Reviewer、Effective Period、Ticket Usage 和 Outcome Metadata</x:v>
      </x:c>
      <x:c r="E84" s="34" t="str">
        <x:v>FUN-048
FUN-049</x:v>
      </x:c>
      <x:c r="F84" s="34" t="str">
        <x:v>相关功能已映射；不代表整条需求已实现</x:v>
      </x:c>
      <x:c r="G84" s="34" t="str">
        <x:v>按原文全文核对各关联拆分项；实施方案及跨项验收仍需确认。</x:v>
      </x:c>
      <x:c r="H84" s="34" t="str">
        <x:v>未完成验收</x:v>
      </x:c>
    </x:row>
    <x:row r="85" ht="46" customHeight="1">
      <x:c r="A85" s="34" t="str">
        <x:v>KB-003</x:v>
      </x:c>
      <x:c r="B85" s="34" t="str">
        <x:v>MUST</x:v>
      </x:c>
      <x:c r="C85" s="34" t="str">
        <x:v>4.8 Knowledge 与 Runbook</x:v>
      </x:c>
      <x:c r="D85" s="34" t="str">
        <x:v>仅 Approved 且当前有效的文章可用于 Agent 标准答复；Draft、Expired 或 Withdrawn 文章必须明显受限</x:v>
      </x:c>
      <x:c r="E85" s="34" t="str">
        <x:v>FUN-048
FUN-047</x:v>
      </x:c>
      <x:c r="F85" s="34" t="str">
        <x:v>相关功能已映射；不代表整条需求已实现</x:v>
      </x:c>
      <x:c r="G85" s="34" t="str">
        <x:v>按原文全文核对各关联拆分项；实施方案及跨项验收仍需确认。</x:v>
      </x:c>
      <x:c r="H85" s="34" t="str">
        <x:v>未完成验收</x:v>
      </x:c>
    </x:row>
    <x:row r="86" ht="46" customHeight="1">
      <x:c r="A86" s="34" t="str">
        <x:v>KB-004</x:v>
      </x:c>
      <x:c r="B86" s="34" t="str">
        <x:v>MUST</x:v>
      </x:c>
      <x:c r="C86" s="34" t="str">
        <x:v>4.8 Knowledge 与 Runbook</x:v>
      </x:c>
      <x:c r="D86" s="34" t="str">
        <x:v>每个 Known Error 应关联 Workaround、受影响 Component、风险、适用范围和 Permanent Fix Owner</x:v>
      </x:c>
      <x:c r="E86" s="34" t="str">
        <x:v>FUN-050</x:v>
      </x:c>
      <x:c r="F86" s="34" t="str">
        <x:v>相关功能已映射；不代表整条需求已实现</x:v>
      </x:c>
      <x:c r="G86" s="34" t="str">
        <x:v>按原文全文核对各关联拆分项；实施方案及跨项验收仍需确认。</x:v>
      </x:c>
      <x:c r="H86" s="34" t="str">
        <x:v>未完成验收</x:v>
      </x:c>
    </x:row>
    <x:row r="87" ht="46" customHeight="1">
      <x:c r="A87" s="34" t="str">
        <x:v>KB-005</x:v>
      </x:c>
      <x:c r="B87" s="34" t="str">
        <x:v>SHOULD</x:v>
      </x:c>
      <x:c r="C87" s="34" t="str">
        <x:v>4.8 Knowledge 与 Runbook</x:v>
      </x:c>
      <x:c r="D87" s="34" t="str">
        <x:v>QA、Reopen、Escalation 和低解决率应生成 Knowledge Improvement Candidate</x:v>
      </x:c>
      <x:c r="E87" s="34" t="str">
        <x:v>FUN-051</x:v>
      </x:c>
      <x:c r="F87" s="34" t="str">
        <x:v>相关功能已映射；不代表整条需求已实现</x:v>
      </x:c>
      <x:c r="G87" s="34" t="str">
        <x:v>按原文全文核对各关联拆分项；实施方案及跨项验收仍需确认。</x:v>
      </x:c>
      <x:c r="H87" s="34" t="str">
        <x:v>未完成验收</x:v>
      </x:c>
    </x:row>
    <x:row r="88" ht="46" customHeight="1">
      <x:c r="A88" s="34" t="str">
        <x:v>QA-001</x:v>
      </x:c>
      <x:c r="B88" s="34" t="str">
        <x:v>MUST</x:v>
      </x:c>
      <x:c r="C88" s="34" t="str">
        <x:v>4.9 QA 与服务质量</x:v>
      </x:c>
      <x:c r="D88" s="34" t="str">
        <x:v>支持 Random、Priority-based、New Agent、Complaint、Reopen 和 Risk-triggered Sampling Rule</x:v>
      </x:c>
      <x:c r="E88" s="34" t="str">
        <x:v>FUN-069</x:v>
      </x:c>
      <x:c r="F88" s="34" t="str">
        <x:v>相关功能已映射；不代表整条需求已实现</x:v>
      </x:c>
      <x:c r="G88" s="34" t="str">
        <x:v>按原文全文核对各关联拆分项；实施方案及跨项验收仍需确认。</x:v>
      </x:c>
      <x:c r="H88" s="34" t="str">
        <x:v>未完成验收</x:v>
      </x:c>
    </x:row>
    <x:row r="89" ht="46" customHeight="1">
      <x:c r="A89" s="34" t="str">
        <x:v>QA-002</x:v>
      </x:c>
      <x:c r="B89" s="34" t="str">
        <x:v>MUST</x:v>
      </x:c>
      <x:c r="C89" s="34" t="str">
        <x:v>4.9 QA 与服务质量</x:v>
      </x:c>
      <x:c r="D89" s="34" t="str">
        <x:v>Scorecard 必须 Versioned，至少覆盖身份核验、信息完整性、分类、优先级、沟通、数据保护、路由、跟进和关闭</x:v>
      </x:c>
      <x:c r="E89" s="34" t="str">
        <x:v>FUN-070</x:v>
      </x:c>
      <x:c r="F89" s="34" t="str">
        <x:v>相关功能已映射；不代表整条需求已实现</x:v>
      </x:c>
      <x:c r="G89" s="34" t="str">
        <x:v>按原文全文核对各关联拆分项；实施方案及跨项验收仍需确认。</x:v>
      </x:c>
      <x:c r="H89" s="34" t="str">
        <x:v>未完成验收</x:v>
      </x:c>
    </x:row>
    <x:row r="90" ht="46" customHeight="1">
      <x:c r="A90" s="34" t="str">
        <x:v>QA-003</x:v>
      </x:c>
      <x:c r="B90" s="34" t="str">
        <x:v>MUST</x:v>
      </x:c>
      <x:c r="C90" s="34" t="str">
        <x:v>4.9 QA 与服务质量</x:v>
      </x:c>
      <x:c r="D90" s="34" t="str">
        <x:v>Review 记录 Score、Defect Code、Evidence、Reviewer、Dispute、Outcome 和 Coaching Action</x:v>
      </x:c>
      <x:c r="E90" s="34" t="str">
        <x:v>FUN-071
FUN-072</x:v>
      </x:c>
      <x:c r="F90" s="34" t="str">
        <x:v>相关功能已映射；不代表整条需求已实现</x:v>
      </x:c>
      <x:c r="G90" s="34" t="str">
        <x:v>按原文全文核对各关联拆分项；实施方案及跨项验收仍需确认。</x:v>
      </x:c>
      <x:c r="H90" s="34" t="str">
        <x:v>未完成验收</x:v>
      </x:c>
    </x:row>
    <x:row r="91" ht="46" customHeight="1">
      <x:c r="A91" s="34" t="str">
        <x:v>QA-004</x:v>
      </x:c>
      <x:c r="B91" s="34" t="str">
        <x:v>MUST</x:v>
      </x:c>
      <x:c r="C91" s="34" t="str">
        <x:v>4.9 QA 与服务质量</x:v>
      </x:c>
      <x:c r="D91" s="34" t="str">
        <x:v>QA 结果必须支持按 Project、Team、Agent、Category、Channel 和 Period 分析，同时限制不必要的人员可见性</x:v>
      </x:c>
      <x:c r="E91" s="34" t="str">
        <x:v>FUN-073</x:v>
      </x:c>
      <x:c r="F91" s="34" t="str">
        <x:v>相关功能已映射；不代表整条需求已实现</x:v>
      </x:c>
      <x:c r="G91" s="34" t="str">
        <x:v>按原文全文核对各关联拆分项；实施方案及跨项验收仍需确认。</x:v>
      </x:c>
      <x:c r="H91" s="34" t="str">
        <x:v>未完成验收</x:v>
      </x:c>
    </x:row>
    <x:row r="92" ht="46" customHeight="1">
      <x:c r="A92" s="34" t="str">
        <x:v>QA-005</x:v>
      </x:c>
      <x:c r="B92" s="34" t="str">
        <x:v>MUST</x:v>
      </x:c>
      <x:c r="C92" s="34" t="str">
        <x:v>4.9 QA 与服务质量</x:v>
      </x:c>
      <x:c r="D92" s="34" t="str">
        <x:v>QA 模块不计算工资、奖金或正式 HR 绩效，不提供考勤和排班</x:v>
      </x:c>
      <x:c r="E92" s="34" t="str">
        <x:v>未单列</x:v>
      </x:c>
      <x:c r="F92" s="34" t="str">
        <x:v>原 90 项未单列；不能从业务完成比例推定满足</x:v>
      </x:c>
      <x:c r="G92" s="34" t="str">
        <x:v>保留原文边界/工程约束，加入相应模块验收；未单列不表示可忽略。</x:v>
      </x:c>
      <x:c r="H92" s="34" t="str">
        <x:v>未完成验收</x:v>
      </x:c>
    </x:row>
    <x:row r="93" ht="46" customHeight="1">
      <x:c r="A93" s="34" t="str">
        <x:v>QA-006</x:v>
      </x:c>
      <x:c r="B93" s="34" t="str">
        <x:v>SHOULD</x:v>
      </x:c>
      <x:c r="C93" s="34" t="str">
        <x:v>4.9 QA 与服务质量</x:v>
      </x:c>
      <x:c r="D93" s="34" t="str">
        <x:v>严重 Data Protection 或安全缺陷应触发独立 Incident/Investigation Workflow</x:v>
      </x:c>
      <x:c r="E93" s="34" t="str">
        <x:v>FUN-074</x:v>
      </x:c>
      <x:c r="F93" s="34" t="str">
        <x:v>相关功能已映射；不代表整条需求已实现</x:v>
      </x:c>
      <x:c r="G93" s="34" t="str">
        <x:v>按原文全文核对各关联拆分项；实施方案及跨项验收仍需确认。</x:v>
      </x:c>
      <x:c r="H93" s="34" t="str">
        <x:v>未完成验收</x:v>
      </x:c>
    </x:row>
    <x:row r="94" ht="46" customHeight="1">
      <x:c r="A94" s="34" t="str">
        <x:v>RPT-001</x:v>
      </x:c>
      <x:c r="B94" s="34" t="str">
        <x:v>MUST</x:v>
      </x:c>
      <x:c r="C94" s="34" t="str">
        <x:v>4.10 Reporting、Usage Evidence 与出口</x:v>
      </x:c>
      <x:c r="D94" s="34" t="str">
        <x:v>Reporting Mart 必须从 Canonical Event 和已核验 GLPI 数据生成，不直接以 Dashboard Snapshot 作为事实</x:v>
      </x:c>
      <x:c r="E94" s="34" t="str">
        <x:v>FUN-079</x:v>
      </x:c>
      <x:c r="F94" s="34" t="str">
        <x:v>相关功能已映射；不代表整条需求已实现</x:v>
      </x:c>
      <x:c r="G94" s="34" t="str">
        <x:v>按原文全文核对各关联拆分项；实施方案及跨项验收仍需确认。</x:v>
      </x:c>
      <x:c r="H94" s="34" t="str">
        <x:v>未完成验收</x:v>
      </x:c>
    </x:row>
    <x:row r="95" ht="46" customHeight="1">
      <x:c r="A95" s="34" t="str">
        <x:v>RPT-002</x:v>
      </x:c>
      <x:c r="B95" s="34" t="str">
        <x:v>MUST</x:v>
      </x:c>
      <x:c r="C95" s="34" t="str">
        <x:v>4.10 Reporting、Usage Evidence 与出口</x:v>
      </x:c>
      <x:c r="D95" s="34" t="str">
        <x:v>Monthly Service Report 至少包含 Demand、Channel、Priority、Target、Dependency、Backlog、Quality、Trend、Capacity 和 Action</x:v>
      </x:c>
      <x:c r="E95" s="34" t="str">
        <x:v>FUN-076
FUN-075</x:v>
      </x:c>
      <x:c r="F95" s="34" t="str">
        <x:v>相关功能已映射；不代表整条需求已实现</x:v>
      </x:c>
      <x:c r="G95" s="34" t="str">
        <x:v>按原文全文核对各关联拆分项；实施方案及跨项验收仍需确认。</x:v>
      </x:c>
      <x:c r="H95" s="34" t="str">
        <x:v>未完成验收</x:v>
      </x:c>
    </x:row>
    <x:row r="96" ht="46" customHeight="1">
      <x:c r="A96" s="34" t="str">
        <x:v>RPT-003</x:v>
      </x:c>
      <x:c r="B96" s="34" t="str">
        <x:v>MUST</x:v>
      </x:c>
      <x:c r="C96" s="34" t="str">
        <x:v>4.10 Reporting、Usage Evidence 与出口</x:v>
      </x:c>
      <x:c r="D96" s="34" t="str">
        <x:v>Reporting Service 通过 WeasyPrint 和 XlsxWriter 生成 PDF、XLSX 和 CSV，模板必须 Versioned</x:v>
      </x:c>
      <x:c r="E96" s="34" t="str">
        <x:v>FUN-077</x:v>
      </x:c>
      <x:c r="F96" s="34" t="str">
        <x:v>相关功能已映射；不代表整条需求已实现</x:v>
      </x:c>
      <x:c r="G96" s="34" t="str">
        <x:v>按原文全文核对各关联拆分项；实施方案及跨项验收仍需确认。</x:v>
      </x:c>
      <x:c r="H96" s="34" t="str">
        <x:v>未完成验收</x:v>
      </x:c>
    </x:row>
    <x:row r="97" ht="46" customHeight="1">
      <x:c r="A97" s="34" t="str">
        <x:v>RPT-004</x:v>
      </x:c>
      <x:c r="B97" s="34" t="str">
        <x:v>MUST</x:v>
      </x:c>
      <x:c r="C97" s="34" t="str">
        <x:v>4.10 Reporting、Usage Evidence 与出口</x:v>
      </x:c>
      <x:c r="D97" s="34" t="str">
        <x:v>Usage Evidence 至少记录按 Project、Channel、Priority 的 Ticket、Email、Manual Call、Alert-to-ticket、Active Agent、SLA Volume 和 Surge/Overage Evidence</x:v>
      </x:c>
      <x:c r="E97" s="34" t="str">
        <x:v>FUN-078</x:v>
      </x:c>
      <x:c r="F97" s="34" t="str">
        <x:v>相关功能已映射；不代表整条需求已实现</x:v>
      </x:c>
      <x:c r="G97" s="34" t="str">
        <x:v>按原文全文核对各关联拆分项；实施方案及跨项验收仍需确认。</x:v>
      </x:c>
      <x:c r="H97" s="34" t="str">
        <x:v>未完成验收</x:v>
      </x:c>
    </x:row>
    <x:row r="98" ht="46" customHeight="1">
      <x:c r="A98" s="34" t="str">
        <x:v>RPT-005</x:v>
      </x:c>
      <x:c r="B98" s="34" t="str">
        <x:v>MUST</x:v>
      </x:c>
      <x:c r="C98" s="34" t="str">
        <x:v>4.10 Reporting、Usage Evidence 与出口</x:v>
      </x:c>
      <x:c r="D98" s="34" t="str">
        <x:v>Usage Evidence 仅提供数量、时长和证据，不包含 Price、Rate、Invoice 或 Billing Logic</x:v>
      </x:c>
      <x:c r="E98" s="34" t="str">
        <x:v>FUN-078</x:v>
      </x:c>
      <x:c r="F98" s="34" t="str">
        <x:v>相关功能已映射；不代表整条需求已实现</x:v>
      </x:c>
      <x:c r="G98" s="34" t="str">
        <x:v>保留原文边界/工程约束，加入相应模块验收；未单列不表示可忽略。</x:v>
      </x:c>
      <x:c r="H98" s="34" t="str">
        <x:v>未完成验收</x:v>
      </x:c>
    </x:row>
    <x:row r="99" ht="46" customHeight="1">
      <x:c r="A99" s="34" t="str">
        <x:v>RPT-006</x:v>
      </x:c>
      <x:c r="B99" s="34" t="str">
        <x:v>MUST</x:v>
      </x:c>
      <x:c r="C99" s="34" t="str">
        <x:v>4.10 Reporting、Usage Evidence 与出口</x:v>
      </x:c>
      <x:c r="D99" s="34" t="str">
        <x:v>报表必须记录 Period、Timezone、Data Cutoff、Watermark、Template Version、Query Version、Checksum 和 Rerun Reason</x:v>
      </x:c>
      <x:c r="E99" s="34" t="str">
        <x:v>FUN-080
FUN-081</x:v>
      </x:c>
      <x:c r="F99" s="34" t="str">
        <x:v>相关功能已映射；不代表整条需求已实现</x:v>
      </x:c>
      <x:c r="G99" s="34" t="str">
        <x:v>按原文全文核对各关联拆分项；实施方案及跨项验收仍需确认。</x:v>
      </x:c>
      <x:c r="H99" s="34" t="str">
        <x:v>未完成验收</x:v>
      </x:c>
    </x:row>
    <x:row r="100" ht="46" customHeight="1">
      <x:c r="A100" s="34" t="str">
        <x:v>RPT-007</x:v>
      </x:c>
      <x:c r="B100" s="34" t="str">
        <x:v>MUST</x:v>
      </x:c>
      <x:c r="C100" s="34" t="str">
        <x:v>4.10 Reporting、Usage Evidence 与出口</x:v>
      </x:c>
      <x:c r="D100" s="34" t="str">
        <x:v>报表总量必须与 GLPI、Ops Core Event 和 Usage Fact 完成自动 Reconciliation</x:v>
      </x:c>
      <x:c r="E100" s="34" t="str">
        <x:v>FUN-079</x:v>
      </x:c>
      <x:c r="F100" s="34" t="str">
        <x:v>相关功能已映射；不代表整条需求已实现</x:v>
      </x:c>
      <x:c r="G100" s="34" t="str">
        <x:v>按原文全文核对各关联拆分项；实施方案及跨项验收仍需确认。</x:v>
      </x:c>
      <x:c r="H100" s="34" t="str">
        <x:v>未完成验收</x:v>
      </x:c>
    </x:row>
    <x:row r="101" ht="46" customHeight="1">
      <x:c r="A101" s="34" t="str">
        <x:v>RPT-008</x:v>
      </x:c>
      <x:c r="B101" s="34" t="str">
        <x:v>SHOULD</x:v>
      </x:c>
      <x:c r="C101" s="34" t="str">
        <x:v>4.10 Reporting、Usage Evidence 与出口</x:v>
      </x:c>
      <x:c r="D101" s="34" t="str">
        <x:v>允许批准用户创建 Ad hoc CSV Extract，但必须受 Field Allowlist、Project Scope 和 Audit 控制</x:v>
      </x:c>
      <x:c r="E101" s="34" t="str">
        <x:v>FUN-082</x:v>
      </x:c>
      <x:c r="F101" s="34" t="str">
        <x:v>相关功能已映射；不代表整条需求已实现</x:v>
      </x:c>
      <x:c r="G101" s="34" t="str">
        <x:v>按原文全文核对各关联拆分项；实施方案及跨项验收仍需确认。</x:v>
      </x:c>
      <x:c r="H101" s="34" t="str">
        <x:v>未完成验收</x:v>
      </x:c>
    </x:row>
    <x:row r="102" ht="46" customHeight="1">
      <x:c r="A102" s="34" t="str">
        <x:v>FLT-001</x:v>
      </x:c>
      <x:c r="B102" s="34" t="str">
        <x:v>MUST</x:v>
      </x:c>
      <x:c r="C102" s="34" t="str">
        <x:v>4.11 Fleet Console</x:v>
      </x:c>
      <x:c r="D102" s="34" t="str">
        <x:v>Fleet Console 显示 Project ID、Environment、Capacity Profile、Platform Version、Image Digest 和 Config Commit</x:v>
      </x:c>
      <x:c r="E102" s="34" t="str">
        <x:v>未单列</x:v>
      </x:c>
      <x:c r="F102" s="34" t="str">
        <x:v>原 90 项未单列；不能从业务完成比例推定满足</x:v>
      </x:c>
      <x:c r="G102" s="34" t="str">
        <x:v>架构/工程工作单独核查。当前自研系统不能凭相似界面视为符合 GLPI/Ops Core 和每项目独立部署基线；需遵循原设计或取得变更批准。</x:v>
      </x:c>
      <x:c r="H102" s="34" t="str">
        <x:v>未完成验收</x:v>
      </x:c>
    </x:row>
    <x:row r="103" ht="46" customHeight="1">
      <x:c r="A103" s="34" t="str">
        <x:v>FLT-002</x:v>
      </x:c>
      <x:c r="B103" s="34" t="str">
        <x:v>MUST</x:v>
      </x:c>
      <x:c r="C103" s="34" t="str">
        <x:v>4.11 Fleet Console</x:v>
      </x:c>
      <x:c r="D103" s="34" t="str">
        <x:v>显示 Health、Last Seen、Backup Age、Restore Drill、Vulnerability、License Scan 和 Certificate Expiry 状态</x:v>
      </x:c>
      <x:c r="E103" s="34" t="str">
        <x:v>未单列</x:v>
      </x:c>
      <x:c r="F103" s="34" t="str">
        <x:v>原 90 项未单列；不能从业务完成比例推定满足</x:v>
      </x:c>
      <x:c r="G103" s="34" t="str">
        <x:v>架构/工程工作单独核查。当前自研系统不能凭相似界面视为符合 GLPI/Ops Core 和每项目独立部署基线；需遵循原设计或取得变更批准。</x:v>
      </x:c>
      <x:c r="H103" s="34" t="str">
        <x:v>未完成验收</x:v>
      </x:c>
    </x:row>
    <x:row r="104" ht="46" customHeight="1">
      <x:c r="A104" s="34" t="str">
        <x:v>FLT-003</x:v>
      </x:c>
      <x:c r="B104" s="34" t="str">
        <x:v>MUST</x:v>
      </x:c>
      <x:c r="C104" s="34" t="str">
        <x:v>4.11 Fleet Console</x:v>
      </x:c>
      <x:c r="D104" s="34" t="str">
        <x:v>禁止保存 Ticket Title/Body、Attachment、End-user Identity、Business Log、Report Data、Email Content 或 Customer Secret</x:v>
      </x:c>
      <x:c r="E104" s="34" t="str">
        <x:v>未单列</x:v>
      </x:c>
      <x:c r="F104" s="34" t="str">
        <x:v>原 90 项未单列；不能从业务完成比例推定满足</x:v>
      </x:c>
      <x:c r="G104" s="34" t="str">
        <x:v>架构/工程工作单独核查。当前自研系统不能凭相似界面视为符合 GLPI/Ops Core 和每项目独立部署基线；需遵循原设计或取得变更批准。</x:v>
      </x:c>
      <x:c r="H104" s="34" t="str">
        <x:v>未完成验收</x:v>
      </x:c>
    </x:row>
    <x:row r="105" ht="46" customHeight="1">
      <x:c r="A105" s="34" t="str">
        <x:v>FLT-004</x:v>
      </x:c>
      <x:c r="B105" s="34" t="str">
        <x:v>MUST</x:v>
      </x:c>
      <x:c r="C105" s="34" t="str">
        <x:v>4.11 Fleet Console</x:v>
      </x:c>
      <x:c r="D105" s="34" t="str">
        <x:v>V1 Fleet Console 为 Read-only Status/Audit Surface；配置变更通过 Git、CI 和 Ansible 执行</x:v>
      </x:c>
      <x:c r="E105" s="34" t="str">
        <x:v>未单列</x:v>
      </x:c>
      <x:c r="F105" s="34" t="str">
        <x:v>原 90 项未单列；不能从业务完成比例推定满足</x:v>
      </x:c>
      <x:c r="G105" s="34" t="str">
        <x:v>架构/工程工作单独核查。当前自研系统不能凭相似界面视为符合 GLPI/Ops Core 和每项目独立部署基线；需遵循原设计或取得变更批准。</x:v>
      </x:c>
      <x:c r="H105" s="34" t="str">
        <x:v>未完成验收</x:v>
      </x:c>
    </x:row>
    <x:row r="106" ht="46" customHeight="1">
      <x:c r="A106" s="34" t="str">
        <x:v>FLT-005</x:v>
      </x:c>
      <x:c r="B106" s="34" t="str">
        <x:v>MUST</x:v>
      </x:c>
      <x:c r="C106" s="34" t="str">
        <x:v>4.11 Fleet Console</x:v>
      </x:c>
      <x:c r="D106" s="34" t="str">
        <x:v>任何 Central Service 不可用不得阻止已部署项目继续处理工单；允许管理和报告能力降级</x:v>
      </x:c>
      <x:c r="E106" s="34" t="str">
        <x:v>未单列</x:v>
      </x:c>
      <x:c r="F106" s="34" t="str">
        <x:v>原 90 项未单列；不能从业务完成比例推定满足</x:v>
      </x:c>
      <x:c r="G106" s="34" t="str">
        <x:v>架构/工程工作单独核查。当前自研系统不能凭相似界面视为符合 GLPI/Ops Core 和每项目独立部署基线；需遵循原设计或取得变更批准。</x:v>
      </x:c>
      <x:c r="H106" s="34" t="str">
        <x:v>未完成验收</x:v>
      </x:c>
    </x:row>
    <x:row r="107" ht="46" customHeight="1">
      <x:c r="A107" s="34" t="str">
        <x:v>FLT-006</x:v>
      </x:c>
      <x:c r="B107" s="34" t="str">
        <x:v>SHOULD</x:v>
      </x:c>
      <x:c r="C107" s="34" t="str">
        <x:v>4.11 Fleet Console</x:v>
      </x:c>
      <x:c r="D107" s="34" t="str">
        <x:v>支持 Fleet-wide Release Wave、Exception、N/N-1 Compliance 和 End-of-support 视图</x:v>
      </x:c>
      <x:c r="E107" s="34" t="str">
        <x:v>未单列</x:v>
      </x:c>
      <x:c r="F107" s="34" t="str">
        <x:v>原 90 项未单列；不能从业务完成比例推定满足</x:v>
      </x:c>
      <x:c r="G107" s="34" t="str">
        <x:v>架构/工程工作单独核查。当前自研系统不能凭相似界面视为符合 GLPI/Ops Core 和每项目独立部署基线；需遵循原设计或取得变更批准。</x:v>
      </x:c>
      <x:c r="H107" s="34" t="str">
        <x:v>未完成验收</x:v>
      </x:c>
    </x:row>
    <x:row r="108" ht="46" customHeight="1">
      <x:c r="A108" s="34" t="str">
        <x:v>DAT-001</x:v>
      </x:c>
      <x:c r="B108" s="34" t="str">
        <x:v>MUST</x:v>
      </x:c>
      <x:c r="C108" s="34" t="str">
        <x:v>4.12 Retention、Legal Hold 与删除</x:v>
      </x:c>
      <x:c r="D108" s="34" t="str">
        <x:v>每项目在 Production 前批准 Retention Policy-as-Code，分别覆盖 Ticket、Attachment、Event、Audit、Metric、Log、Report 和 Backup</x:v>
      </x:c>
      <x:c r="E108" s="34" t="str">
        <x:v>FUN-086</x:v>
      </x:c>
      <x:c r="F108" s="34" t="str">
        <x:v>相关功能已映射；不代表整条需求已实现</x:v>
      </x:c>
      <x:c r="G108" s="34" t="str">
        <x:v>按原文全文核对各关联拆分项；实施方案及跨项验收仍需确认。</x:v>
      </x:c>
      <x:c r="H108" s="34" t="str">
        <x:v>未完成验收</x:v>
      </x:c>
    </x:row>
    <x:row r="109" ht="46" customHeight="1">
      <x:c r="A109" s="34" t="str">
        <x:v>DAT-002</x:v>
      </x:c>
      <x:c r="B109" s="34" t="str">
        <x:v>MUST</x:v>
      </x:c>
      <x:c r="C109" s="34" t="str">
        <x:v>4.12 Retention、Legal Hold 与删除</x:v>
      </x:c>
      <x:c r="D109" s="34" t="str">
        <x:v>Legal Hold 必须阻止受影响记录自动删除，并记录 Scope、Approver、Reason、Start 和 Release</x:v>
      </x:c>
      <x:c r="E109" s="34" t="str">
        <x:v>FUN-087</x:v>
      </x:c>
      <x:c r="F109" s="34" t="str">
        <x:v>相关功能已映射；不代表整条需求已实现</x:v>
      </x:c>
      <x:c r="G109" s="34" t="str">
        <x:v>按原文全文核对各关联拆分项；实施方案及跨项验收仍需确认。</x:v>
      </x:c>
      <x:c r="H109" s="34" t="str">
        <x:v>未完成验收</x:v>
      </x:c>
    </x:row>
    <x:row r="110" ht="46" customHeight="1">
      <x:c r="A110" s="34" t="str">
        <x:v>DAT-003</x:v>
      </x:c>
      <x:c r="B110" s="34" t="str">
        <x:v>MUST</x:v>
      </x:c>
      <x:c r="C110" s="34" t="str">
        <x:v>4.12 Retention、Legal Hold 与删除</x:v>
      </x:c>
      <x:c r="D110" s="34" t="str">
        <x:v>到期删除必须可审计、可重试，并验证主存储、索引、缓存和后续 Backup Expiry</x:v>
      </x:c>
      <x:c r="E110" s="34" t="str">
        <x:v>FUN-086</x:v>
      </x:c>
      <x:c r="F110" s="34" t="str">
        <x:v>相关功能已映射；不代表整条需求已实现</x:v>
      </x:c>
      <x:c r="G110" s="34" t="str">
        <x:v>按原文全文核对各关联拆分项；实施方案及跨项验收仍需确认。</x:v>
      </x:c>
      <x:c r="H110" s="34" t="str">
        <x:v>未完成验收</x:v>
      </x:c>
    </x:row>
    <x:row r="111" ht="46" customHeight="1">
      <x:c r="A111" s="34" t="str">
        <x:v>DAT-004</x:v>
      </x:c>
      <x:c r="B111" s="34" t="str">
        <x:v>MUST</x:v>
      </x:c>
      <x:c r="C111" s="34" t="str">
        <x:v>4.12 Retention、Legal Hold 与删除</x:v>
      </x:c>
      <x:c r="D111" s="34" t="str">
        <x:v>Exit Export 必须包含 Manifest、Data Dictionary 和 Checksums，并进行可读性验证</x:v>
      </x:c>
      <x:c r="E111" s="34" t="str">
        <x:v>FUN-089</x:v>
      </x:c>
      <x:c r="F111" s="34" t="str">
        <x:v>相关功能已映射；不代表整条需求已实现</x:v>
      </x:c>
      <x:c r="G111" s="34" t="str">
        <x:v>按原文全文核对各关联拆分项；实施方案及跨项验收仍需确认。</x:v>
      </x:c>
      <x:c r="H111" s="34" t="str">
        <x:v>未完成验收</x:v>
      </x:c>
    </x:row>
    <x:row r="112" ht="46" customHeight="1">
      <x:c r="A112" s="34" t="str">
        <x:v>DAT-005</x:v>
      </x:c>
      <x:c r="B112" s="34" t="str">
        <x:v>MUST</x:v>
      </x:c>
      <x:c r="C112" s="34" t="str">
        <x:v>4.12 Retention、Legal Hold 与删除</x:v>
      </x:c>
      <x:c r="D112" s="34" t="str">
        <x:v>非生产环境不得使用未脱敏 Production PII；测试数据必须合成或批准脱敏</x:v>
      </x:c>
      <x:c r="E112" s="34" t="str">
        <x:v>未单列</x:v>
      </x:c>
      <x:c r="F112" s="34" t="str">
        <x:v>原 90 项未单列；不能从业务完成比例推定满足</x:v>
      </x:c>
      <x:c r="G112" s="34" t="str">
        <x:v>保留原文边界/工程约束，加入相应模块验收；未单列不表示可忽略。</x:v>
      </x:c>
      <x:c r="H112" s="34" t="str">
        <x:v>未完成验收</x:v>
      </x:c>
    </x:row>
    <x:row r="113" ht="46" customHeight="1">
      <x:c r="A113" s="34" t="str">
        <x:v>DAT-006</x:v>
      </x:c>
      <x:c r="B113" s="34" t="str">
        <x:v>SHOULD</x:v>
      </x:c>
      <x:c r="C113" s="34" t="str">
        <x:v>4.12 Retention、Legal Hold 与删除</x:v>
      </x:c>
      <x:c r="D113" s="34" t="str">
        <x:v>支持按 Subject Reference 检索和导出批准范围的数据，以配合合法 Data Subject Request</x:v>
      </x:c>
      <x:c r="E113" s="34" t="str">
        <x:v>FUN-088</x:v>
      </x:c>
      <x:c r="F113" s="34" t="str">
        <x:v>相关功能已映射；不代表整条需求已实现</x:v>
      </x:c>
      <x:c r="G113" s="34" t="str">
        <x:v>按原文全文核对各关联拆分项；实施方案及跨项验收仍需确认。</x:v>
      </x:c>
      <x:c r="H113" s="34" t="str">
        <x:v>未完成验收</x:v>
      </x:c>
    </x:row>
    <x:row r="114" ht="46" customHeight="1">
      <x:c r="A114" s="34" t="str">
        <x:v>SEC-001</x:v>
      </x:c>
      <x:c r="B114" s="34" t="str">
        <x:v>MUST</x:v>
      </x:c>
      <x:c r="C114" s="34" t="str">
        <x:v>10.1 安全目标</x:v>
      </x:c>
      <x:c r="D114" s="34" t="str">
        <x:v>Public Edge 仅开放 Agent UI 与已启用 Channel Webhook 的 HTTPS；DB、Admin API、SSH、Metrics、Backup 和 Container Runtime 仅通过 Management Network 或 WireGuard</x:v>
      </x:c>
      <x:c r="E114" s="34" t="str">
        <x:v>未单列</x:v>
      </x:c>
      <x:c r="F114" s="34" t="str">
        <x:v>原 90 项未单列；不能从业务完成比例推定满足</x:v>
      </x:c>
      <x:c r="G114" s="34" t="str">
        <x:v>架构/工程工作单独核查。当前自研系统不能凭相似界面视为符合 GLPI/Ops Core 和每项目独立部署基线；需遵循原设计或取得变更批准。</x:v>
      </x:c>
      <x:c r="H114" s="34" t="str">
        <x:v>未完成验收</x:v>
      </x:c>
    </x:row>
    <x:row r="115" ht="46" customHeight="1">
      <x:c r="A115" s="34" t="str">
        <x:v>SEC-002</x:v>
      </x:c>
      <x:c r="B115" s="34" t="str">
        <x:v>MUST</x:v>
      </x:c>
      <x:c r="C115" s="34" t="str">
        <x:v>10.1 安全目标</x:v>
      </x:c>
      <x:c r="D115" s="34" t="str">
        <x:v>Production Secret 使用 SOPS + age 加密，按项目独立 Key；Secret 不得进入 Git 明文、Image Layer、Fleet Console 或普通 Log</x:v>
      </x:c>
      <x:c r="E115" s="34" t="str">
        <x:v>未单列</x:v>
      </x:c>
      <x:c r="F115" s="34" t="str">
        <x:v>原 90 项未单列；不能从业务完成比例推定满足</x:v>
      </x:c>
      <x:c r="G115" s="34" t="str">
        <x:v>架构/工程工作单独核查。当前自研系统不能凭相似界面视为符合 GLPI/Ops Core 和每项目独立部署基线；需遵循原设计或取得变更批准。</x:v>
      </x:c>
      <x:c r="H115" s="34" t="str">
        <x:v>未完成验收</x:v>
      </x:c>
    </x:row>
    <x:row r="116" ht="46" customHeight="1">
      <x:c r="A116" s="34" t="str">
        <x:v>SEC-003</x:v>
      </x:c>
      <x:c r="B116" s="34" t="str">
        <x:v>MUST</x:v>
      </x:c>
      <x:c r="C116" s="34" t="str">
        <x:v>10.1 安全目标</x:v>
      </x:c>
      <x:c r="D116" s="34" t="str">
        <x:v>Attachment 强制扫描、类型/大小/压缩限制和 Quarantine；Scanner Failure 采用 Fail Closed</x:v>
      </x:c>
      <x:c r="E116" s="34" t="str">
        <x:v>FUN-083
FUN-084</x:v>
      </x:c>
      <x:c r="F116" s="34" t="str">
        <x:v>相关功能已映射；不代表整条需求已实现</x:v>
      </x:c>
      <x:c r="G116" s="34" t="str">
        <x:v>按原文全文核对各关联拆分项；实施方案及跨项验收仍需确认。</x:v>
      </x:c>
      <x:c r="H116" s="34" t="str">
        <x:v>未完成验收</x:v>
      </x:c>
    </x:row>
    <x:row r="117" ht="46" customHeight="1">
      <x:c r="A117" s="34" t="str">
        <x:v>SEC-004</x:v>
      </x:c>
      <x:c r="B117" s="34" t="str">
        <x:v>MUST</x:v>
      </x:c>
      <x:c r="C117" s="34" t="str">
        <x:v>10.1 安全目标</x:v>
      </x:c>
      <x:c r="D117" s="34" t="str">
        <x:v>登录、授权变更、Break-glass、配置、Registry、Clock、Bot Content/Flow、Human Handoff、Export、Delete、Report 和 Admin Action 必须审计</x:v>
      </x:c>
      <x:c r="E117" s="34" t="str">
        <x:v>FUN-085</x:v>
      </x:c>
      <x:c r="F117" s="34" t="str">
        <x:v>相关功能已映射；不代表整条需求已实现</x:v>
      </x:c>
      <x:c r="G117" s="34" t="str">
        <x:v>按原文全文核对各关联拆分项；实施方案及跨项验收仍需确认。</x:v>
      </x:c>
      <x:c r="H117" s="34" t="str">
        <x:v>未完成验收</x:v>
      </x:c>
    </x:row>
    <x:row r="118" ht="46" customHeight="1">
      <x:c r="A118" s="34" t="str">
        <x:v>SEC-005</x:v>
      </x:c>
      <x:c r="B118" s="34" t="str">
        <x:v>MUST</x:v>
      </x:c>
      <x:c r="C118" s="34" t="str">
        <x:v>10.1 安全目标</x:v>
      </x:c>
      <x:c r="D118" s="34" t="str">
        <x:v>Release 必须通过 SBOM、License、Vulnerability、Secret、Misconfiguration 和 Provenance Gate</x:v>
      </x:c>
      <x:c r="E118" s="34" t="str">
        <x:v>未单列</x:v>
      </x:c>
      <x:c r="F118" s="34" t="str">
        <x:v>原 90 项未单列；不能从业务完成比例推定满足</x:v>
      </x:c>
      <x:c r="G118" s="34" t="str">
        <x:v>架构/工程工作单独核查。当前自研系统不能凭相似界面视为符合 GLPI/Ops Core 和每项目独立部署基线；需遵循原设计或取得变更批准。</x:v>
      </x:c>
      <x:c r="H118" s="34" t="str">
        <x:v>未完成验收</x:v>
      </x:c>
    </x:row>
    <x:row r="119" ht="46" customHeight="1">
      <x:c r="A119" s="34" t="str">
        <x:v>SEC-006</x:v>
      </x:c>
      <x:c r="B119" s="34" t="str">
        <x:v>MUST</x:v>
      </x:c>
      <x:c r="C119" s="34" t="str">
        <x:v>10.1 安全目标</x:v>
      </x:c>
      <x:c r="D119" s="34" t="str">
        <x:v>Data in Transit 使用受支持 TLS；Data at Rest 使用 Host/Disk 和应用适用的加密控制</x:v>
      </x:c>
      <x:c r="E119" s="34" t="str">
        <x:v>未单列</x:v>
      </x:c>
      <x:c r="F119" s="34" t="str">
        <x:v>原 90 项未单列；不能从业务完成比例推定满足</x:v>
      </x:c>
      <x:c r="G119" s="34" t="str">
        <x:v>架构/工程工作单独核查。当前自研系统不能凭相似界面视为符合 GLPI/Ops Core 和每项目独立部署基线；需遵循原设计或取得变更批准。</x:v>
      </x:c>
      <x:c r="H119" s="34" t="str">
        <x:v>未完成验收</x:v>
      </x:c>
    </x:row>
    <x:row r="120" ht="46" customHeight="1">
      <x:c r="A120" s="34" t="str">
        <x:v>SEC-007</x:v>
      </x:c>
      <x:c r="B120" s="34" t="str">
        <x:v>MUST</x:v>
      </x:c>
      <x:c r="C120" s="34" t="str">
        <x:v>10.1 安全目标</x:v>
      </x:c>
      <x:c r="D120" s="34" t="str">
        <x:v>Security Patch 按风险优先；Critical Vulnerability 必须触发加速评估、补偿控制或紧急发布</x:v>
      </x:c>
      <x:c r="E120" s="34" t="str">
        <x:v>未单列</x:v>
      </x:c>
      <x:c r="F120" s="34" t="str">
        <x:v>原 90 项未单列；不能从业务完成比例推定满足</x:v>
      </x:c>
      <x:c r="G120" s="34" t="str">
        <x:v>架构/工程工作单独核查。当前自研系统不能凭相似界面视为符合 GLPI/Ops Core 和每项目独立部署基线；需遵循原设计或取得变更批准。</x:v>
      </x:c>
      <x:c r="H120" s="34" t="str">
        <x:v>未完成验收</x:v>
      </x:c>
    </x:row>
    <x:row r="121" ht="46" customHeight="1">
      <x:c r="A121" s="34" t="str">
        <x:v>SEC-008</x:v>
      </x:c>
      <x:c r="B121" s="34" t="str">
        <x:v>SHOULD</x:v>
      </x:c>
      <x:c r="C121" s="34" t="str">
        <x:v>10.1 安全目标</x:v>
      </x:c>
      <x:c r="D121" s="34" t="str">
        <x:v>对关键 Audit Record 采用 Hash Chain 或等价 Tamper-evidence，并定期外部固化摘要</x:v>
      </x:c>
      <x:c r="E121" s="34" t="str">
        <x:v>未单列</x:v>
      </x:c>
      <x:c r="F121" s="34" t="str">
        <x:v>原 90 项未单列；不能从业务完成比例推定满足</x:v>
      </x:c>
      <x:c r="G121" s="34" t="str">
        <x:v>架构/工程工作单独核查。当前自研系统不能凭相似界面视为符合 GLPI/Ops Core 和每项目独立部署基线；需遵循原设计或取得变更批准。</x:v>
      </x:c>
      <x:c r="H121" s="34" t="str">
        <x:v>未完成验收</x:v>
      </x:c>
    </x:row>
    <x:row r="122" ht="46" customHeight="1">
      <x:c r="A122" s="34" t="str">
        <x:v>AVL-001</x:v>
      </x:c>
      <x:c r="B122" s="34" t="str">
        <x:v>MUST</x:v>
      </x:c>
      <x:c r="C122" s="34" t="str">
        <x:v>11.1 可用性与降级</x:v>
      </x:c>
      <x:c r="D122" s="34" t="str">
        <x:v>单 VM 标准配置在基础设施健康时支持生产运行；组件故障必须被监测和告警</x:v>
      </x:c>
      <x:c r="E122" s="34" t="str">
        <x:v>未单列</x:v>
      </x:c>
      <x:c r="F122" s="34" t="str">
        <x:v>原 90 项未单列；不能从业务完成比例推定满足</x:v>
      </x:c>
      <x:c r="G122" s="34" t="str">
        <x:v>架构/工程工作单独核查。当前自研系统不能凭相似界面视为符合 GLPI/Ops Core 和每项目独立部署基线；需遵循原设计或取得变更批准。</x:v>
      </x:c>
      <x:c r="H122" s="34" t="str">
        <x:v>未完成验收</x:v>
      </x:c>
    </x:row>
    <x:row r="123" ht="46" customHeight="1">
      <x:c r="A123" s="34" t="str">
        <x:v>AVL-002</x:v>
      </x:c>
      <x:c r="B123" s="34" t="str">
        <x:v>MUST</x:v>
      </x:c>
      <x:c r="C123" s="34" t="str">
        <x:v>11.1 可用性与降级</x:v>
      </x:c>
      <x:c r="D123" s="34" t="str">
        <x:v>Fleet、Harbor 或 Central Monitoring 故障不得使已运行 Ticketing 停止</x:v>
      </x:c>
      <x:c r="E123" s="34" t="str">
        <x:v>未单列</x:v>
      </x:c>
      <x:c r="F123" s="34" t="str">
        <x:v>原 90 项未单列；不能从业务完成比例推定满足</x:v>
      </x:c>
      <x:c r="G123" s="34" t="str">
        <x:v>架构/工程工作单独核查。当前自研系统不能凭相似界面视为符合 GLPI/Ops Core 和每项目独立部署基线；需遵循原设计或取得变更批准。</x:v>
      </x:c>
      <x:c r="H123" s="34" t="str">
        <x:v>未完成验收</x:v>
      </x:c>
    </x:row>
    <x:row r="124" ht="46" customHeight="1">
      <x:c r="A124" s="34" t="str">
        <x:v>AVL-003</x:v>
      </x:c>
      <x:c r="B124" s="34" t="str">
        <x:v>MUST</x:v>
      </x:c>
      <x:c r="C124" s="34" t="str">
        <x:v>11.1 可用性与降级</x:v>
      </x:c>
      <x:c r="D124" s="34" t="str">
        <x:v>Email、WhatsApp、Bot、Expert 或 Monitoring 外部接口故障进入可见 Retry/Backlog，不静默丢失</x:v>
      </x:c>
      <x:c r="E124" s="34" t="str">
        <x:v>未单列</x:v>
      </x:c>
      <x:c r="F124" s="34" t="str">
        <x:v>原 90 项未单列；不能从业务完成比例推定满足</x:v>
      </x:c>
      <x:c r="G124" s="34" t="str">
        <x:v>架构/工程工作单独核查。当前自研系统不能凭相似界面视为符合 GLPI/Ops Core 和每项目独立部署基线；需遵循原设计或取得变更批准。</x:v>
      </x:c>
      <x:c r="H124" s="34" t="str">
        <x:v>未完成验收</x:v>
      </x:c>
    </x:row>
    <x:row r="125" ht="46" customHeight="1">
      <x:c r="A125" s="34" t="str">
        <x:v>AVL-004</x:v>
      </x:c>
      <x:c r="B125" s="34" t="str">
        <x:v>SHOULD</x:v>
      </x:c>
      <x:c r="C125" s="34" t="str">
        <x:v>11.1 可用性与降级</x:v>
      </x:c>
      <x:c r="D125" s="34" t="str">
        <x:v>Project 可在 Maintenance Window 中执行受控升级，并提供回滚或恢复路径</x:v>
      </x:c>
      <x:c r="E125" s="34" t="str">
        <x:v>未单列</x:v>
      </x:c>
      <x:c r="F125" s="34" t="str">
        <x:v>原 90 项未单列；不能从业务完成比例推定满足</x:v>
      </x:c>
      <x:c r="G125" s="34" t="str">
        <x:v>架构/工程工作单独核查。当前自研系统不能凭相似界面视为符合 GLPI/Ops Core 和每项目独立部署基线；需遵循原设计或取得变更批准。</x:v>
      </x:c>
      <x:c r="H125" s="34" t="str">
        <x:v>未完成验收</x:v>
      </x:c>
    </x:row>
    <x:row r="126" ht="46" customHeight="1">
      <x:c r="A126" s="34" t="str">
        <x:v>PERF-001</x:v>
      </x:c>
      <x:c r="B126" s="34" t="str">
        <x:v>MUST</x:v>
      </x:c>
      <x:c r="C126" s="34" t="str">
        <x:v>11.2 性能与容量</x:v>
      </x:c>
      <x:c r="D126" s="34" t="str">
        <x:v>每个 Profile 必须使用代表性 Ticket、Attachment、Event、Metric 和 Log 数据完成 Load Test</x:v>
      </x:c>
      <x:c r="E126" s="34" t="str">
        <x:v>未单列</x:v>
      </x:c>
      <x:c r="F126" s="34" t="str">
        <x:v>原 90 项未单列；不能从业务完成比例推定满足</x:v>
      </x:c>
      <x:c r="G126" s="34" t="str">
        <x:v>架构/工程工作单独核查。当前自研系统不能凭相似界面视为符合 GLPI/Ops Core 和每项目独立部署基线；需遵循原设计或取得变更批准。</x:v>
      </x:c>
      <x:c r="H126" s="34" t="str">
        <x:v>未完成验收</x:v>
      </x:c>
    </x:row>
    <x:row r="127" ht="46" customHeight="1">
      <x:c r="A127" s="34" t="str">
        <x:v>PERF-002</x:v>
      </x:c>
      <x:c r="B127" s="34" t="str">
        <x:v>MUST</x:v>
      </x:c>
      <x:c r="C127" s="34" t="str">
        <x:v>11.2 性能与容量</x:v>
      </x:c>
      <x:c r="D127" s="34" t="str">
        <x:v>在 Profile 额定并发下，常用 Agent 页面 p95 交互响应目标不高于 2.5 秒，不含外部身份或网络延迟</x:v>
      </x:c>
      <x:c r="E127" s="34" t="str">
        <x:v>未单列</x:v>
      </x:c>
      <x:c r="F127" s="34" t="str">
        <x:v>原 90 项未单列；不能从业务完成比例推定满足</x:v>
      </x:c>
      <x:c r="G127" s="34" t="str">
        <x:v>架构/工程工作单独核查。当前自研系统不能凭相似界面视为符合 GLPI/Ops Core 和每项目独立部署基线；需遵循原设计或取得变更批准。</x:v>
      </x:c>
      <x:c r="H127" s="34" t="str">
        <x:v>未完成验收</x:v>
      </x:c>
    </x:row>
    <x:row r="128" ht="46" customHeight="1">
      <x:c r="A128" s="34" t="str">
        <x:v>PERF-003</x:v>
      </x:c>
      <x:c r="B128" s="34" t="str">
        <x:v>MUST</x:v>
      </x:c>
      <x:c r="C128" s="34" t="str">
        <x:v>11.2 性能与容量</x:v>
      </x:c>
      <x:c r="D128" s="34" t="str">
        <x:v>Webhook/Event Ingestion 在正常负载下 p95 接受时间目标不高于 1 秒；Projection 可见 p95 不高于 30 秒</x:v>
      </x:c>
      <x:c r="E128" s="34" t="str">
        <x:v>未单列</x:v>
      </x:c>
      <x:c r="F128" s="34" t="str">
        <x:v>原 90 项未单列；不能从业务完成比例推定满足</x:v>
      </x:c>
      <x:c r="G128" s="34" t="str">
        <x:v>架构/工程工作单独核查。当前自研系统不能凭相似界面视为符合 GLPI/Ops Core 和每项目独立部署基线；需遵循原设计或取得变更批准。</x:v>
      </x:c>
      <x:c r="H128" s="34" t="str">
        <x:v>未完成验收</x:v>
      </x:c>
    </x:row>
    <x:row r="129" ht="46" customHeight="1">
      <x:c r="A129" s="34" t="str">
        <x:v>PERF-004</x:v>
      </x:c>
      <x:c r="B129" s="34" t="str">
        <x:v>MUST</x:v>
      </x:c>
      <x:c r="C129" s="34" t="str">
        <x:v>11.2 性能与容量</x:v>
      </x:c>
      <x:c r="D129" s="34" t="str">
        <x:v>P1 Alert 到 Incident 创建/关联在平台健康且接口可用时 p95 不高于 60 秒</x:v>
      </x:c>
      <x:c r="E129" s="34" t="str">
        <x:v>未单列</x:v>
      </x:c>
      <x:c r="F129" s="34" t="str">
        <x:v>原 90 项未单列；不能从业务完成比例推定满足</x:v>
      </x:c>
      <x:c r="G129" s="34" t="str">
        <x:v>架构/工程工作单独核查。当前自研系统不能凭相似界面视为符合 GLPI/Ops Core 和每项目独立部署基线；需遵循原设计或取得变更批准。</x:v>
      </x:c>
      <x:c r="H129" s="34" t="str">
        <x:v>未完成验收</x:v>
      </x:c>
    </x:row>
    <x:row r="130" ht="46" customHeight="1">
      <x:c r="A130" s="34" t="str">
        <x:v>PERF-005</x:v>
      </x:c>
      <x:c r="B130" s="34" t="str">
        <x:v>MUST</x:v>
      </x:c>
      <x:c r="C130" s="34" t="str">
        <x:v>11.2 性能与容量</x:v>
      </x:c>
      <x:c r="D130" s="34" t="str">
        <x:v>标准月报在 Standard Profile 代表性数据量下 30 分钟内生成或明确失败，不允许无限 Running</x:v>
      </x:c>
      <x:c r="E130" s="34" t="str">
        <x:v>未单列</x:v>
      </x:c>
      <x:c r="F130" s="34" t="str">
        <x:v>原 90 项未单列；不能从业务完成比例推定满足</x:v>
      </x:c>
      <x:c r="G130" s="34" t="str">
        <x:v>架构/工程工作单独核查。当前自研系统不能凭相似界面视为符合 GLPI/Ops Core 和每项目独立部署基线；需遵循原设计或取得变更批准。</x:v>
      </x:c>
      <x:c r="H130" s="34" t="str">
        <x:v>未完成验收</x:v>
      </x:c>
    </x:row>
    <x:row r="131" ht="46" customHeight="1">
      <x:c r="A131" s="34" t="str">
        <x:v>PERF-006</x:v>
      </x:c>
      <x:c r="B131" s="34" t="str">
        <x:v>SHOULD</x:v>
      </x:c>
      <x:c r="C131" s="34" t="str">
        <x:v>11.2 性能与容量</x:v>
      </x:c>
      <x:c r="D131" s="34" t="str">
        <x:v>容量超过 70% 持续阈值时提前告警并形成 Scale Recommendation</x:v>
      </x:c>
      <x:c r="E131" s="34" t="str">
        <x:v>未单列</x:v>
      </x:c>
      <x:c r="F131" s="34" t="str">
        <x:v>原 90 项未单列；不能从业务完成比例推定满足</x:v>
      </x:c>
      <x:c r="G131" s="34" t="str">
        <x:v>架构/工程工作单独核查。当前自研系统不能凭相似界面视为符合 GLPI/Ops Core 和每项目独立部署基线；需遵循原设计或取得变更批准。</x:v>
      </x:c>
      <x:c r="H131" s="34" t="str">
        <x:v>未完成验收</x:v>
      </x:c>
    </x:row>
    <x:row r="132" ht="46" customHeight="1">
      <x:c r="A132" s="34" t="str">
        <x:v>BKP-001</x:v>
      </x:c>
      <x:c r="B132" s="34" t="str">
        <x:v>MUST</x:v>
      </x:c>
      <x:c r="C132" s="34" t="str">
        <x:v>11.3 可恢复性</x:v>
      </x:c>
      <x:c r="D132" s="34" t="str">
        <x:v>备份覆盖 MariaDB、PostgreSQL 中相互隔离的 Ops Core/Chatwoot 数据库、GLPI Files、Chatwoot Media、Project Config、必要证书和恢复所需 Metadata</x:v>
      </x:c>
      <x:c r="E132" s="34" t="str">
        <x:v>未单列</x:v>
      </x:c>
      <x:c r="F132" s="34" t="str">
        <x:v>原 90 项未单列；不能从业务完成比例推定满足</x:v>
      </x:c>
      <x:c r="G132" s="34" t="str">
        <x:v>架构/工程工作单独核查。当前自研系统不能凭相似界面视为符合 GLPI/Ops Core 和每项目独立部署基线；需遵循原设计或取得变更批准。</x:v>
      </x:c>
      <x:c r="H132" s="34" t="str">
        <x:v>未完成验收</x:v>
      </x:c>
    </x:row>
    <x:row r="133" ht="46" customHeight="1">
      <x:c r="A133" s="34" t="str">
        <x:v>BKP-002</x:v>
      </x:c>
      <x:c r="B133" s="34" t="str">
        <x:v>MUST</x:v>
      </x:c>
      <x:c r="C133" s="34" t="str">
        <x:v>11.3 可恢复性</x:v>
      </x:c>
      <x:c r="D133" s="34" t="str">
        <x:v>标准内部工程目标为 RPO 不高于 15 分钟、RTO 不高于 4 小时</x:v>
      </x:c>
      <x:c r="E133" s="34" t="str">
        <x:v>未单列</x:v>
      </x:c>
      <x:c r="F133" s="34" t="str">
        <x:v>原 90 项未单列；不能从业务完成比例推定满足</x:v>
      </x:c>
      <x:c r="G133" s="34" t="str">
        <x:v>架构/工程工作单独核查。当前自研系统不能凭相似界面视为符合 GLPI/Ops Core 和每项目独立部署基线；需遵循原设计或取得变更批准。</x:v>
      </x:c>
      <x:c r="H133" s="34" t="str">
        <x:v>未完成验收</x:v>
      </x:c>
    </x:row>
    <x:row r="134" ht="46" customHeight="1">
      <x:c r="A134" s="34" t="str">
        <x:v>BKP-003</x:v>
      </x:c>
      <x:c r="B134" s="34" t="str">
        <x:v>MUST</x:v>
      </x:c>
      <x:c r="C134" s="34" t="str">
        <x:v>11.3 可恢复性</x:v>
      </x:c>
      <x:c r="D134" s="34" t="str">
        <x:v>每月执行 Repository Integrity Check，每季度执行隔离 Restore Drill</x:v>
      </x:c>
      <x:c r="E134" s="34" t="str">
        <x:v>未单列</x:v>
      </x:c>
      <x:c r="F134" s="34" t="str">
        <x:v>原 90 项未单列；不能从业务完成比例推定满足</x:v>
      </x:c>
      <x:c r="G134" s="34" t="str">
        <x:v>架构/工程工作单独核查。当前自研系统不能凭相似界面视为符合 GLPI/Ops Core 和每项目独立部署基线；需遵循原设计或取得变更批准。</x:v>
      </x:c>
      <x:c r="H134" s="34" t="str">
        <x:v>未完成验收</x:v>
      </x:c>
    </x:row>
    <x:row r="135" ht="46" customHeight="1">
      <x:c r="A135" s="34" t="str">
        <x:v>BKP-004</x:v>
      </x:c>
      <x:c r="B135" s="34" t="str">
        <x:v>MUST</x:v>
      </x:c>
      <x:c r="C135" s="34" t="str">
        <x:v>11.3 可恢复性</x:v>
      </x:c>
      <x:c r="D135" s="34" t="str">
        <x:v>重大升级前执行额外一致性备份并验证可用 Restore Point</x:v>
      </x:c>
      <x:c r="E135" s="34" t="str">
        <x:v>未单列</x:v>
      </x:c>
      <x:c r="F135" s="34" t="str">
        <x:v>原 90 项未单列；不能从业务完成比例推定满足</x:v>
      </x:c>
      <x:c r="G135" s="34" t="str">
        <x:v>架构/工程工作单独核查。当前自研系统不能凭相似界面视为符合 GLPI/Ops Core 和每项目独立部署基线；需遵循原设计或取得变更批准。</x:v>
      </x:c>
      <x:c r="H135" s="34" t="str">
        <x:v>未完成验收</x:v>
      </x:c>
    </x:row>
    <x:row r="136" ht="46" customHeight="1">
      <x:c r="A136" s="34" t="str">
        <x:v>BKP-005</x:v>
      </x:c>
      <x:c r="B136" s="34" t="str">
        <x:v>MUST</x:v>
      </x:c>
      <x:c r="C136" s="34" t="str">
        <x:v>11.3 可恢复性</x:v>
      </x:c>
      <x:c r="D136" s="34" t="str">
        <x:v>每项目独立 Repository、Credential、Encryption Key 和 Quota，并保留第二份 Offline/Immutable Copy</x:v>
      </x:c>
      <x:c r="E136" s="34" t="str">
        <x:v>未单列</x:v>
      </x:c>
      <x:c r="F136" s="34" t="str">
        <x:v>原 90 项未单列；不能从业务完成比例推定满足</x:v>
      </x:c>
      <x:c r="G136" s="34" t="str">
        <x:v>架构/工程工作单独核查。当前自研系统不能凭相似界面视为符合 GLPI/Ops Core 和每项目独立部署基线；需遵循原设计或取得变更批准。</x:v>
      </x:c>
      <x:c r="H136" s="34" t="str">
        <x:v>未完成验收</x:v>
      </x:c>
    </x:row>
    <x:row r="137" ht="136" customHeight="1">
      <x:c r="A137" s="34" t="str">
        <x:v>§2.3</x:v>
      </x:c>
      <x:c r="B137" s="34" t="str">
        <x:v>设计章节（非需求编号）</x:v>
      </x:c>
      <x:c r="C137" s="34" t="str">
        <x:v>2.3 目标使用场景</x:v>
      </x:c>
      <x:c r="D137" s="34" t="str">
        <x:v>公众用户通过 Email 或电话联系 DayPop L1，Agent 在 GLPI 创建或更新工单。
已启用数字渠道的项目中，公众用户可通过 WhatsApp 与基础 Chatbot 交互；机器人无法安全完成时转人工并创建或关联 GLPI User Case。
应用、集成或基础设施监控产生 Alert，由 Alertmanager 归并并通过 Ops Core 创建或关联 Incident。
L1/L2 需要将工单交给外部 Component Support Expert，但 DayPop 仍负责跟踪、回收证据、用户更新和关闭。
Service Desk Lead 需要识别 P1/P2、即将违约、长时间等待、重复问题、低质量工单和超量趋势。
月末需要自动生成可追溯的 PDF、XLSX 和 CSV 报告，并能说明每个数字来自哪些工单或事件。
SRE 需要知道项目实例是否健康、是否按期备份、是否存在高危漏洞以及当前运行哪个 Digest。
合同退出或项目移交时，需要导出约定的数据，但不移交 DayPop 平台源码、自动化和内部配置模板。</x:v>
      </x:c>
      <x:c r="E137" s="34" t="str">
        <x:v>FUN-008</x:v>
      </x:c>
      <x:c r="F137" s="34" t="str">
        <x:v>相关功能已映射；不代表整条需求已实现</x:v>
      </x:c>
      <x:c r="G137" s="34" t="str">
        <x:v>按原文全文核对各关联拆分项；实施方案及跨项验收仍需确认。</x:v>
      </x:c>
      <x:c r="H137" s="34" t="str">
        <x:v>未完成验收</x:v>
      </x:c>
    </x:row>
    <x:row r="138" ht="332" customHeight="1">
      <x:c r="A138" s="34" t="str">
        <x:v>§2.4</x:v>
      </x:c>
      <x:c r="B138" s="34" t="str">
        <x:v>设计章节（非需求编号）</x:v>
      </x:c>
      <x:c r="C138" s="34" t="str">
        <x:v>2.4 V1 范围；V1 必须包含；V1 明确不包含</x:v>
      </x:c>
      <x:c r="D138" s="34" t="str">
        <x:v>Ticketing、Email Intake、Manual Phone Ticket、Monitoring Alert、REST API/Webhook。
Per-project Chatwoot Community Digital Conversation Hub、WhatsApp Cloud API Adapter 和 Conversation-to-Ticket Mapping，默认关闭。
Onward Bot Orchestrator 的已审批问答、Intent Triage、结构化信息采集、English/Arabic、Fallback 和 Human Handoff。
User Case、Incident、Major Incident、Problem、Known Error、Service Request。
P1-P4、Standard/Enhanced/Mission Critical Service Target Profile。
End-to-end Clock 与 DayPop Accountable Clock。
Service、Component、Support Group、Owner、External Expert、OLA、Calendar、Escalation Route 和 Handback Condition Registry。
GLPI 原生 Knowledge Base，加 DayPop Article Approval/Version/Usage Metadata。
QA Sampling、Scorecard、Defect、Review、Coaching Action 和 Audit Evidence。
Monthly Reporting、Usage Evidence、PDF/XLSX/CSV、Exit Export。
Keycloak SSO、MFA、RBAC、Break-glass、Audit、Attachment Scan、Secrets、SBOM 和 Backup/Restore。
Fleet Console 技术元数据与健康视图。
面向客户或公众的 Self-service Portal、Status Page、FAQ Site。
Social、Web Chat、Voice Bot、开放域生成式问答、AI Classification、AI Summary 或 AI Knowledge Recommendation。
Chatbot 自动执行交易、账户、退款、赔付、封禁、Priority 最终裁决或其他高风险业务动作。
完整 Workforce Management、排班、考勤、绩效薪酬和 Payroll。
计价、Commercial Rate、Invoice、Payment Collection 或 Billing Engine。
Change、Release、CR 执行、Software Development、Bug Fix、Code Remediation 或生产发布。
自建公共 Email Service、Domain、Telephone Number、SIP Trunk 或电信运营商服务。
SOC/MDR、SIEM、Penetration Testing 或客户应用的完整可观测性建设。
Kubernetes/Helm、ARM64 和完整 Air-gapped Bundle。</x:v>
      </x:c>
      <x:c r="E138" s="34" t="str">
        <x:v>FUN-017</x:v>
      </x:c>
      <x:c r="F138" s="34" t="str">
        <x:v>相关功能已映射；不代表整条需求已实现</x:v>
      </x:c>
      <x:c r="G138" s="34" t="str">
        <x:v>按原文全文核对各关联拆分项；实施方案及跨项验收仍需确认。</x:v>
      </x:c>
      <x:c r="H138" s="34" t="str">
        <x:v>未完成验收</x:v>
      </x:c>
    </x:row>
    <x:row r="139" ht="164" customHeight="1">
      <x:c r="A139" s="34" t="str">
        <x:v>§7.3</x:v>
      </x:c>
      <x:c r="B139" s="34" t="str">
        <x:v>设计章节（非需求编号）</x:v>
      </x:c>
      <x:c r="C139" s="34" t="str">
        <x:v>7.3 Ticket Projection 状态规则</x:v>
      </x:c>
      <x:c r="D139" s="34" t="str">
        <x:v>New：已创建但未完成 Acknowledgement。
Acknowledged：已确认接收，尚未完成 Initial Triage。
In Triage：正在收集上下文、判断 Priority/Component/Owner。
Assigned：已明确当前责任组并开始处理。
Waiting：存在明确 Dependency，必须有责任状态和证据。
Restored：用户服务已恢复，但可能仍需 Permanent Fix 或 Problem Follow-up。
Resolved：解决结果和证据完整，等待关闭确认或批准周期。
Closure Pending：等待用户确认或自动关闭窗口。
Closed：满足关闭标准，Clock 停止，记录 Closure Code。
Cancelled：重复、误报、撤销或不适用，必须有 Reason。
Reopen 必须创建 ticket.reopened Event，并重新启动适用 Clock；不得改写历史 Resolve/Close 时间。</x:v>
      </x:c>
      <x:c r="E139" s="34" t="str">
        <x:v>FUN-021
FUN-022
FUN-016
FUN-018
FUN-020</x:v>
      </x:c>
      <x:c r="F139" s="34" t="str">
        <x:v>相关功能已映射；不代表整条需求已实现</x:v>
      </x:c>
      <x:c r="G139" s="34" t="str">
        <x:v>按原文全文核对各关联拆分项；实施方案及跨项验收仍需确认。</x:v>
      </x:c>
      <x:c r="H139" s="34" t="str">
        <x:v>未完成验收</x:v>
      </x:c>
    </x:row>
    <x:row r="140" ht="150" customHeight="1">
      <x:c r="A140" s="34" t="str">
        <x:v>§8.2</x:v>
      </x:c>
      <x:c r="B140" s="34" t="str">
        <x:v>设计章节（非需求编号）</x:v>
      </x:c>
      <x:c r="C140" s="34" t="str">
        <x:v>8.2 SSO 集成</x:v>
      </x:c>
      <x:c r="D140" s="34" t="str">
        <x:v>登录流如下：
Agent 访问项目 URL。
Caddy 将受保护路径转到 oauth2-proxy。
oauth2-proxy 将用户重定向到 Keycloak 并执行 OIDC Authorization Code Flow。
Keycloak 执行 MFA 和用户/角色策略。
oauth2-proxy 验证 Token，移除外部伪造头，并注入批准 Identity Header。
GLPI 使用 HTTP External Authentication 识别用户并应用 Project Role Mapping。
Logout 进入批准的 GLPI、oauth2-proxy 与 Keycloak Session 失效流程。
不得安装需要 GLPI Network Subscription 的 OAuth SSO Plugin。该无付费路径必须在 Phase 0 PoC 验证 User Provisioning、Role Mapping、Header Trust、Logout、Session Expiry、Disabled User 和 Break-glass。</x:v>
      </x:c>
      <x:c r="E140" s="34" t="str">
        <x:v>FUN-004</x:v>
      </x:c>
      <x:c r="F140" s="34" t="str">
        <x:v>相关功能已映射；不代表整条需求已实现</x:v>
      </x:c>
      <x:c r="G140" s="34" t="str">
        <x:v>按原文全文核对各关联拆分项；实施方案及跨项验收仍需确认。</x:v>
      </x:c>
      <x:c r="H140" s="34" t="str">
        <x:v>未完成验收</x:v>
      </x:c>
    </x:row>
    <x:row r="141" ht="94" customHeight="1">
      <x:c r="A141" s="34" t="str">
        <x:v>§8.3</x:v>
      </x:c>
      <x:c r="B141" s="34" t="str">
        <x:v>设计章节（非需求编号）</x:v>
      </x:c>
      <x:c r="C141" s="34" t="str">
        <x:v>8.3 Email 集成</x:v>
      </x:c>
      <x:c r="D141" s="34" t="str">
        <x:v>使用 IMAP/SMTP；Microsoft 365 或 Google Workspace 可通过 GLPI oauthimap GPL Plugin 或受支持 OAuth Path 接入。
DayPop 不自建公共 Mail Server；Mailbox、Domain、Tenant 和 Email Provider 是项目通信基础设施。
入站邮件必须保留 Message-ID、In-Reply-To、References、Received Time 和 Attachment Scan Outcome。
发件失败进入 Retry Queue，超过阈值触发 Alert 和人工 Follow-up。
Auto Reply、Loop、Bounce 和 Out-of-office 必须有防循环规则。
不允许在 Email Subject 或 Notification 中暴露超出批准范围的 PII。</x:v>
      </x:c>
      <x:c r="E141" s="34" t="str">
        <x:v>FUN-010
FUN-063
FUN-011
FUN-012</x:v>
      </x:c>
      <x:c r="F141" s="34" t="str">
        <x:v>相关功能已映射；不代表整条需求已实现</x:v>
      </x:c>
      <x:c r="G141" s="34" t="str">
        <x:v>按原文全文核对各关联拆分项；实施方案及跨项验收仍需确认。</x:v>
      </x:c>
      <x:c r="H141" s="34" t="str">
        <x:v>未完成验收</x:v>
      </x:c>
    </x:row>
    <x:row r="142" ht="94" customHeight="1">
      <x:c r="A142" s="34" t="str">
        <x:v>§8.5</x:v>
      </x:c>
      <x:c r="B142" s="34" t="str">
        <x:v>设计章节（非需求编号）</x:v>
      </x:c>
      <x:c r="C142" s="34" t="str">
        <x:v>8.5 外部专家接口</x:v>
      </x:c>
      <x:c r="D142" s="34" t="str">
        <x:v>V1 支持以下 Handoff 方式：
Email Template：适用于无 API 的外部团队。
REST/Webhook Connector：适用于可自动创建和同步 Case 的专家系统。
Manual Secure Update：Agent/L2 从批准渠道录入 Expert 结果。
无论渠道如何，Ops Core 必须生成内部 Dependency ID，记录 External Reference、Acknowledgement、Follow-up、Handback、OLA 和当前责任状态。外部系统不得成为 DayPop Clock 的唯一事实源。</x:v>
      </x:c>
      <x:c r="E142" s="34" t="str">
        <x:v>FUN-031
FUN-033</x:v>
      </x:c>
      <x:c r="F142" s="34" t="str">
        <x:v>相关功能已映射；不代表整条需求已实现</x:v>
      </x:c>
      <x:c r="G142" s="34" t="str">
        <x:v>按原文全文核对各关联拆分项；实施方案及跨项验收仍需确认。</x:v>
      </x:c>
      <x:c r="H142" s="34" t="str">
        <x:v>未完成验收</x:v>
      </x:c>
    </x:row>
    <x:row r="143" ht="122" customHeight="1">
      <x:c r="A143" s="34" t="str">
        <x:v>§8.6</x:v>
      </x:c>
      <x:c r="B143" s="34" t="str">
        <x:v>设计章节（非需求编号）</x:v>
      </x:c>
      <x:c r="C143" s="34" t="str">
        <x:v>8.6 API 原则</x:v>
      </x:c>
      <x:c r="D143" s="34" t="str">
        <x:v>Contract-first，OpenAPI 3.1 作为实现与测试基线。
URL 使用 /v1 Major Version；Breaking Change 发布新 Major。
所有非健康接口使用 OIDC/OAuth2、Service Account Scope 和 Project Context。
写接口要求 Idempotency-Key。
Error 使用 RFC 9457-style application/problem+json。
每个请求生成 Trace ID；敏感 Payload 不进入普通 Log。
Webhook 支持 HMAC Signature 或 OAuth、Timestamp Window、Replay Protection、Retry 和 Dead Letter。
初始接口基线见 engineering/openapi.yaml。</x:v>
      </x:c>
      <x:c r="E143" s="34" t="str">
        <x:v>FUN-013</x:v>
      </x:c>
      <x:c r="F143" s="34" t="str">
        <x:v>相关功能已映射；不代表整条需求已实现</x:v>
      </x:c>
      <x:c r="G143" s="34" t="str">
        <x:v>按原文全文核对各关联拆分项；实施方案及跨项验收仍需确认。</x:v>
      </x:c>
      <x:c r="H143" s="34" t="str">
        <x:v>未完成验收</x:v>
      </x:c>
    </x:row>
    <x:row r="144" ht="178" customHeight="1">
      <x:c r="A144" s="34" t="str">
        <x:v>§9.1</x:v>
      </x:c>
      <x:c r="B144" s="34" t="str">
        <x:v>设计章节（非需求编号）</x:v>
      </x:c>
      <x:c r="C144" s="34" t="str">
        <x:v>9.1 Ticket 主流程</x:v>
      </x:c>
      <x:c r="D144" s="34" t="str">
        <x:v>图 4  端到端 Ticket 与责任时钟流程
Receive：Email、Phone、Alert 或 API 创建 Source Record。
Validate：校验 Project、Identity、Channel、必填上下文、Attachment 和 Duplicate Signal。
Create/Acknowledge：GLPI 生成 Ticket，Ops Core 接收 ticket.created 并启动 End-to-end Clock。
Classify：确定 Object Type、Priority、Service、Component 和 Current Support Group。
Triage：L1/L2 执行 Approved Script，补充 Evidence，记录 First Response。
Resolve or Handoff：可在 DayPop 权限内解决则继续；否则创建 Dependency 并交给 External Expert。
Track：Ops Core 计算 DayPop Clock、Expert OLA、Update Cadence 和 Escalation。
Restore/Resolve：保存 Restore Evidence、Resolution、Workaround、Known Error 或 Permanent Fix Route。
Communicate：仅使用批准的用户措辞，记录发送状态。
Close：完成 Closure Checklist、Code、User Confirmation/Timeout 和必要 Knowledge/Problem Link。
Learn：进入 QA Sampling、Trend、Problem、Knowledge Improvement 和 Monthly Reporting。</x:v>
      </x:c>
      <x:c r="E144" s="34" t="str">
        <x:v>FUN-008
FUN-021
FUN-015
FUN-018
FUN-019</x:v>
      </x:c>
      <x:c r="F144" s="34" t="str">
        <x:v>相关功能已映射；不代表整条需求已实现</x:v>
      </x:c>
      <x:c r="G144" s="34" t="str">
        <x:v>按原文全文核对各关联拆分项；实施方案及跨项验收仍需确认。</x:v>
      </x:c>
      <x:c r="H144" s="34" t="str">
        <x:v>未完成验收</x:v>
      </x:c>
    </x:row>
    <x:row r="145" ht="178" customHeight="1">
      <x:c r="A145" s="34" t="str">
        <x:v>§9.2</x:v>
      </x:c>
      <x:c r="B145" s="34" t="str">
        <x:v>设计章节（非需求编号）</x:v>
      </x:c>
      <x:c r="C145" s="34" t="str">
        <x:v>9.2 外部专家交接流程；Handoff 前；等待期间；Handback 后</x:v>
      </x:c>
      <x:c r="D145" s="34" t="str">
        <x:v>校验 Component Registry 是否存在 Active Expert 和 OLA。
形成结构化 Problem Statement、Impact、Priority、Timeline、Evidence 和已执行动作。
指明要求专家回答的问题和期望 Handback Content。
记录 Handoff Event，DayPop Accountable Clock 从 DayPop Active 切换到 External Expert。
End-to-end Clock 持续运行。
External Expert OLA 独立计算。
用户 Update Cadence 是否继续由 DayPop 承担，按 Service Target Profile 计算。
到达 Reminder 或 Escalation 阈值时自动通知当前 Expert 和 Escalation Route。
验证是否满足 Handback Condition。
不满足时保持 Dependency Open，记录缺口并再次请求。
满足时关闭 Dependency，DayPop Accountable Clock 返回 DayPop Active，完成验证、沟通和关闭。
涉及 Code Bug 时，记录 Warranty/CR/Development Reference，但 Help Desk 不执行修复。</x:v>
      </x:c>
      <x:c r="E145" s="34" t="str">
        <x:v>FUN-031
FUN-032
FUN-033</x:v>
      </x:c>
      <x:c r="F145" s="34" t="str">
        <x:v>相关功能已映射；不代表整条需求已实现</x:v>
      </x:c>
      <x:c r="G145" s="34" t="str">
        <x:v>按原文全文核对各关联拆分项；实施方案及跨项验收仍需确认。</x:v>
      </x:c>
      <x:c r="H145" s="34" t="str">
        <x:v>未完成验收</x:v>
      </x:c>
    </x:row>
    <x:row r="146" ht="80" customHeight="1">
      <x:c r="A146" s="34" t="str">
        <x:v>§9.3</x:v>
      </x:c>
      <x:c r="B146" s="34" t="str">
        <x:v>设计章节（非需求编号）</x:v>
      </x:c>
      <x:c r="C146" s="34" t="str">
        <x:v>9.3 Major Incident</x:v>
      </x:c>
      <x:c r="D146" s="34" t="str">
        <x:v>P1 或批准的 P2 可触发 Major Incident。必须记录：Declaration、Incident Commander/Coordinator、Scope、Affected Services、Timeline、Stakeholder Update、User Communication Approval、Restore、Resolve、RCA Owner、Problem/Known Error 和 Review Action。
平台不自行发布 Public Status，也不批准对外重大声明。未来 Status Page 模块可以订阅已批准的 Major Incident Communication Event。</x:v>
      </x:c>
      <x:c r="E146" s="34" t="str">
        <x:v>FUN-027</x:v>
      </x:c>
      <x:c r="F146" s="34" t="str">
        <x:v>相关功能已映射；不代表整条需求已实现</x:v>
      </x:c>
      <x:c r="G146" s="34" t="str">
        <x:v>按原文全文核对各关联拆分项；实施方案及跨项验收仍需确认。</x:v>
      </x:c>
      <x:c r="H146" s="34" t="str">
        <x:v>未完成验收</x:v>
      </x:c>
    </x:row>
    <x:row r="147" ht="108" customHeight="1">
      <x:c r="A147" s="34" t="str">
        <x:v>§9.5</x:v>
      </x:c>
      <x:c r="B147" s="34" t="str">
        <x:v>设计章节（非需求编号）</x:v>
      </x:c>
      <x:c r="C147" s="34" t="str">
        <x:v>9.5 月度报告流程</x:v>
      </x:c>
      <x:c r="D147" s="34" t="str">
        <x:v>冻结 Reporting Cutoff 和 Watermark。
对账 GLPI、Canonical Event、Usage Fact 和 Monitoring Aggregate。
记录 Exception 和未决数据质量问题。
生成 PDF、XLSX、CSV 及 Checksums。
Lead/Service Owner 审核并批准。
通过批准渠道交付，保存 Artifact Version 和 Delivery Evidence。
后续更正生成新版本并保留原版本，不覆盖历史。</x:v>
      </x:c>
      <x:c r="E147" s="34" t="str">
        <x:v>FUN-076
FUN-081</x:v>
      </x:c>
      <x:c r="F147" s="34" t="str">
        <x:v>相关功能已映射；不代表整条需求已实现</x:v>
      </x:c>
      <x:c r="G147" s="34" t="str">
        <x:v>按原文全文核对各关联拆分项；实施方案及跨项验收仍需确认。</x:v>
      </x:c>
      <x:c r="H147" s="34" t="str">
        <x:v>未完成验收</x:v>
      </x:c>
    </x:row>
    <x:row r="148" ht="94" customHeight="1">
      <x:c r="A148" s="34" t="str">
        <x:v>§11.5</x:v>
      </x:c>
      <x:c r="B148" s="34" t="str">
        <x:v>设计章节（非需求编号）</x:v>
      </x:c>
      <x:c r="C148" s="34" t="str">
        <x:v>11.5 可移植性与本地化</x:v>
      </x:c>
      <x:c r="D148" s="34" t="str">
        <x:v>V1 仅认证 Ubuntu Server 24.04 LTS 和 x86_64。
使用 OCI Image、标准 Linux、Podman Quadlet 和 systemd，避免云厂商专属运行时。
Canonical Config、Data 和 API Code 使用英文。
内部设计与 Runbook 可使用中文；Agent UI 使用 GLPI 语言包支持 English、Chinese 和 Arabic。
Arabic 启用时必须验证 RTL、表格、通知和导出，不仅验证字符串存在。
ARM64、Rocky/RHEL、Kubernetes/Helm 和 Air-gapped Profile 进入后续路线图。</x:v>
      </x:c>
      <x:c r="E148" s="34" t="str">
        <x:v>FUN-061
FUN-062</x:v>
      </x:c>
      <x:c r="F148" s="34" t="str">
        <x:v>相关功能已映射；不代表整条需求已实现</x:v>
      </x:c>
      <x:c r="G148" s="34" t="str">
        <x:v>按原文全文核对各关联拆分项；实施方案及跨项验收仍需确认。</x:v>
      </x:c>
      <x:c r="H148" s="34" t="str">
        <x:v>未完成验收</x:v>
      </x:c>
    </x:row>
    <x:row r="149" ht="52" customHeight="1">
      <x:c r="A149" s="34" t="str">
        <x:v>§18.6</x:v>
      </x:c>
      <x:c r="B149" s="34" t="str">
        <x:v>设计章节（非需求编号）</x:v>
      </x:c>
      <x:c r="C149" s="34" t="str">
        <x:v>18.6 调整 Reporting 与数据移交</x:v>
      </x:c>
      <x:c r="D149" s="34" t="str">
        <x:v>TP 应明确 Monthly Report 来源于可审计 Reporting Mart，并提供 PDF/XLSX/CSV。Exit Package 应定义 Ticket/Article Data、Attachment、Data Dictionary、Open Ticket、Historical Report、Manifest 和 Checksum；平台源码、配置模板、Dashboard、Automation 和 DayPop IP 不移交。</x:v>
      </x:c>
      <x:c r="E149" s="34" t="str">
        <x:v>FUN-089</x:v>
      </x:c>
      <x:c r="F149" s="34" t="str">
        <x:v>相关功能已映射；不代表整条需求已实现</x:v>
      </x:c>
      <x:c r="G149" s="34" t="str">
        <x:v>按原文全文核对各关联拆分项；实施方案及跨项验收仍需确认。</x:v>
      </x:c>
      <x:c r="H149" s="34" t="str">
        <x:v>未完成验收</x:v>
      </x:c>
    </x:row>
    <x:row r="150" ht="164" customHeight="1">
      <x:c r="A150" s="34" t="str">
        <x:v>§附录B</x:v>
      </x:c>
      <x:c r="B150" s="34" t="str">
        <x:v>设计章节（非需求编号）</x:v>
      </x:c>
      <x:c r="C150" s="34" t="str">
        <x:v>附录 B：标准报告页</x:v>
      </x:c>
      <x:c r="D150" s="34" t="str">
        <x:v>标准 Monthly Service Report 建议包括：
Executive Summary 与本月需要决策事项。
Demand、Channel、Language、Priority 和 Contact Trend。
Acknowledgement、First Response、Update、Restore、Resolve 及 Breach。
End-to-end 与 DayPop Accountable 时间分解。
External Expert OLA、Dependency Aging 和 Restricted Support。
Backlog、Reopen、Duplicate、Known Error 和 Problem Trend。
QA Sample、Defect、Coaching 和 Knowledge Improvement。
Monitoring Alert、Incident Correlation、Coverage Gap。
Capacity、Surge/Overage Evidence 和 Scale Recommendation。
Risk、Action、Owner 和 Due Date。</x:v>
      </x:c>
      <x:c r="E150" s="34" t="str">
        <x:v>FUN-076</x:v>
      </x:c>
      <x:c r="F150" s="34" t="str">
        <x:v>相关功能已映射；不代表整条需求已实现</x:v>
      </x:c>
      <x:c r="G150" s="34" t="str">
        <x:v>按原文全文核对各关联拆分项；实施方案及跨项验收仍需确认。</x:v>
      </x:c>
      <x:c r="H150" s="34" t="str">
        <x:v>未完成验收</x:v>
      </x:c>
    </x:row>
    <x:row r="151" ht="136" customHeight="1">
      <x:c r="A151" s="34" t="str">
        <x:v>§附录C</x:v>
      </x:c>
      <x:c r="B151" s="34" t="str">
        <x:v>设计章节（非需求编号）</x:v>
      </x:c>
      <x:c r="C151" s="34" t="str">
        <x:v>附录 C：标准 Exit Package</x:v>
      </x:c>
      <x:c r="D151" s="34" t="str">
        <x:v>Artifact | 格式 | 必须内容
Ticket Export | CSV 或 JSON | ID、Type、Status、Priority、Channel、Dates、Owner、Service、Component、Resolution、Relations
Article Export | CSV 或 JSON | Article ID、Title、Version、Approval、Effective Period、Category
Attachments | 原格式 | 稳定目录、Ticket Mapping、File Hash、Scan Status
Open Ticket List | XLSX/CSV | Current Owner、Dependency、Clock、Next Action、Due
Historical Reports | PDF/XLSX/CSV | 已交付批准版本
Data Dictionary | CSV/Markdown | 字段、类型、定义、分类、来源
Manifest | JSON/YAML | Artifact、Count、Size、Checksum、Cutoff、Generator Version
Verification Record | PDF/Markdown | 生成、校验、例外、批准和交付证据</x:v>
      </x:c>
      <x:c r="E151" s="34" t="str">
        <x:v>FUN-089</x:v>
      </x:c>
      <x:c r="F151" s="34" t="str">
        <x:v>相关功能已映射；不代表整条需求已实现</x:v>
      </x:c>
      <x:c r="G151" s="34" t="str">
        <x:v>按原文全文核对各关联拆分项；实施方案及跨项验收仍需确认。</x:v>
      </x:c>
      <x:c r="H151" s="34" t="str">
        <x:v>未完成验收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0aca5da3d9141fe"/>
  </x:tableParts>
</x:worksheet>
</file>